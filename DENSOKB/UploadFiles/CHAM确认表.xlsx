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确认表" sheetId="1" state="visible" r:id="rId3"/>
  </sheets>
  <definedNames>
    <definedName function="false" hidden="false" localSheetId="0" name="_xlnm.Print_Area" vbProcedure="false">CHAM确认表!$A$1:$S$33</definedName>
    <definedName function="false" hidden="false" localSheetId="0" name="_xlnm.Print_Titles" vbProcedure="false">CHAM确认表!$9:$9</definedName>
    <definedName function="false" hidden="true" localSheetId="0" name="_xlnm._FilterDatabase" vbProcedure="false">CHAM确认表!$A$9:$AN$21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<sst xmlns="http://schemas.openxmlformats.org/spreadsheetml/2006/main" count="61" uniqueCount="56">
  <si>
    <r>
      <rPr>
        <sz val="36"/>
        <rFont val="黑体"/>
        <family val="3"/>
        <charset val="134"/>
      </rPr>
      <t xml:space="preserve">CHAM 制品集货</t>
    </r>
    <r>
      <rPr>
        <sz val="36"/>
        <rFont val="ＭＳ Ｐゴシック"/>
        <family val="2"/>
        <charset val="128"/>
      </rPr>
      <t xml:space="preserve">・</t>
    </r>
    <r>
      <rPr>
        <sz val="36"/>
        <rFont val="黑体"/>
        <family val="3"/>
        <charset val="134"/>
      </rPr>
      <t xml:space="preserve">出货异品</t>
    </r>
    <r>
      <rPr>
        <sz val="36"/>
        <rFont val="ＭＳ Ｐゴシック"/>
        <family val="2"/>
        <charset val="128"/>
      </rPr>
      <t xml:space="preserve">・</t>
    </r>
    <r>
      <rPr>
        <sz val="36"/>
        <rFont val="黑体"/>
        <family val="3"/>
        <charset val="134"/>
      </rPr>
      <t xml:space="preserve">欠品照合确认表</t>
    </r>
  </si>
  <si>
    <t xml:space="preserve">客户名称</t>
  </si>
  <si>
    <t xml:space="preserve">CHAM（佛山本田）</t>
  </si>
  <si>
    <t xml:space="preserve">取货车组</t>
  </si>
  <si>
    <t xml:space="preserve">-</t>
  </si>
  <si>
    <t xml:space="preserve">客户代码</t>
  </si>
  <si>
    <t xml:space="preserve">出荷日期</t>
  </si>
  <si>
    <r>
      <rPr>
        <b val="true"/>
        <sz val="18"/>
        <rFont val="宋体"/>
        <family val="3"/>
        <charset val="134"/>
      </rPr>
      <t xml:space="preserve">传</t>
    </r>
    <r>
      <rPr>
        <b val="true"/>
        <sz val="18"/>
        <rFont val="ＭＳ Ｐゴシック"/>
        <family val="2"/>
        <charset val="128"/>
      </rPr>
      <t xml:space="preserve">票作成者</t>
    </r>
  </si>
  <si>
    <t xml:space="preserve">韦彩亦</t>
  </si>
  <si>
    <r>
      <rPr>
        <b val="true"/>
        <sz val="18"/>
        <rFont val="宋体"/>
        <family val="3"/>
        <charset val="134"/>
      </rPr>
      <t xml:space="preserve">传</t>
    </r>
    <r>
      <rPr>
        <b val="true"/>
        <sz val="18"/>
        <rFont val="ＭＳ Ｐゴシック"/>
        <family val="2"/>
        <charset val="128"/>
      </rPr>
      <t xml:space="preserve">票作成</t>
    </r>
    <r>
      <rPr>
        <b val="true"/>
        <sz val="18"/>
        <rFont val="宋体"/>
        <family val="3"/>
        <charset val="134"/>
      </rPr>
      <t xml:space="preserve">时刻</t>
    </r>
  </si>
  <si>
    <t xml:space="preserve"> </t>
  </si>
  <si>
    <t xml:space="preserve">集货作業者</t>
  </si>
  <si>
    <t xml:space="preserve">集货时刻</t>
  </si>
  <si>
    <t xml:space="preserve">３点照合者</t>
  </si>
  <si>
    <t xml:space="preserve">３点照合时刻</t>
  </si>
  <si>
    <t xml:space="preserve">传票作成者記入</t>
  </si>
  <si>
    <t xml:space="preserve">集货者记入</t>
  </si>
  <si>
    <t xml:space="preserve">计划代码</t>
  </si>
  <si>
    <t xml:space="preserve">落点</t>
  </si>
  <si>
    <t xml:space="preserve">零件号</t>
  </si>
  <si>
    <t xml:space="preserve">电装品番</t>
  </si>
  <si>
    <t xml:space="preserve">收容数</t>
  </si>
  <si>
    <t xml:space="preserve">托/台数</t>
  </si>
  <si>
    <t xml:space="preserve">托/箱数</t>
  </si>
  <si>
    <t xml:space="preserve">箱数…台尾数</t>
  </si>
  <si>
    <t xml:space="preserve">箱数</t>
  </si>
  <si>
    <t xml:space="preserve">托数..台尾数</t>
  </si>
  <si>
    <t xml:space="preserve">托数…箱尾数</t>
  </si>
  <si>
    <t xml:space="preserve">纳入个数</t>
  </si>
  <si>
    <t xml:space="preserve">传票日期</t>
  </si>
  <si>
    <t xml:space="preserve">传票
时间</t>
  </si>
  <si>
    <t xml:space="preserve">订单号</t>
  </si>
  <si>
    <r>
      <rPr>
        <b val="true"/>
        <sz val="18"/>
        <rFont val="ＭＳ Ｐゴシック"/>
        <family val="2"/>
        <charset val="128"/>
      </rPr>
      <t xml:space="preserve">集</t>
    </r>
    <r>
      <rPr>
        <b val="true"/>
        <sz val="18"/>
        <rFont val="宋体"/>
        <family val="3"/>
        <charset val="134"/>
      </rPr>
      <t xml:space="preserve">货张</t>
    </r>
    <r>
      <rPr>
        <b val="true"/>
        <sz val="18"/>
        <rFont val="ＭＳ Ｐゴシック"/>
        <family val="2"/>
        <charset val="128"/>
      </rPr>
      <t xml:space="preserve">数</t>
    </r>
  </si>
  <si>
    <r>
      <rPr>
        <b val="true"/>
        <sz val="18"/>
        <rFont val="宋体"/>
        <family val="3"/>
        <charset val="134"/>
      </rPr>
      <t xml:space="preserve">现</t>
    </r>
    <r>
      <rPr>
        <b val="true"/>
        <sz val="18"/>
        <rFont val="ＭＳ Ｐゴシック"/>
        <family val="2"/>
        <charset val="128"/>
      </rPr>
      <t xml:space="preserve">品照合</t>
    </r>
  </si>
  <si>
    <t xml:space="preserve">托盘个数</t>
  </si>
  <si>
    <t xml:space="preserve">CHAM104AM</t>
  </si>
  <si>
    <t xml:space="preserve">W6</t>
  </si>
  <si>
    <t xml:space="preserve">28400RJ2 0043</t>
  </si>
  <si>
    <t xml:space="preserve">079300-43304P</t>
  </si>
  <si>
    <t xml:space="preserve">0…10</t>
  </si>
  <si>
    <t xml:space="preserve">0…1</t>
  </si>
  <si>
    <t xml:space="preserve">123000</t>
  </si>
  <si>
    <t xml:space="preserve">45000135570008</t>
  </si>
  <si>
    <t xml:space="preserve">CHAM124AM</t>
  </si>
  <si>
    <t xml:space="preserve">5…84</t>
  </si>
  <si>
    <t xml:space="preserve">5…7</t>
  </si>
  <si>
    <t xml:space="preserve">900</t>
  </si>
  <si>
    <t xml:space="preserve">45000135570013</t>
  </si>
  <si>
    <t xml:space="preserve">总张数:</t>
  </si>
  <si>
    <t xml:space="preserve">备注：</t>
  </si>
  <si>
    <t xml:space="preserve">备注内容区</t>
  </si>
  <si>
    <r>
      <rPr>
        <sz val="18"/>
        <rFont val="宋体"/>
        <family val="3"/>
        <charset val="134"/>
      </rPr>
      <t xml:space="preserve">异</t>
    </r>
    <r>
      <rPr>
        <sz val="18"/>
        <rFont val="ＭＳ Ｐゴシック"/>
        <family val="2"/>
        <charset val="128"/>
      </rPr>
      <t xml:space="preserve">常出</t>
    </r>
    <r>
      <rPr>
        <sz val="18"/>
        <rFont val="宋体"/>
        <family val="3"/>
        <charset val="134"/>
      </rPr>
      <t xml:space="preserve">现</t>
    </r>
    <r>
      <rPr>
        <sz val="18"/>
        <rFont val="ＭＳ Ｐゴシック"/>
        <family val="2"/>
        <charset val="128"/>
      </rPr>
      <t xml:space="preserve">必</t>
    </r>
    <r>
      <rPr>
        <sz val="18"/>
        <rFont val="宋体"/>
        <family val="3"/>
        <charset val="134"/>
      </rPr>
      <t xml:space="preserve">须</t>
    </r>
    <r>
      <rPr>
        <sz val="18"/>
        <rFont val="ＭＳ Ｐゴシック"/>
        <family val="2"/>
        <charset val="128"/>
      </rPr>
      <t xml:space="preserve">0.5H内</t>
    </r>
    <r>
      <rPr>
        <sz val="18"/>
        <rFont val="宋体"/>
        <family val="3"/>
        <charset val="134"/>
      </rPr>
      <t xml:space="preserve">报</t>
    </r>
    <r>
      <rPr>
        <sz val="18"/>
        <rFont val="ＭＳ Ｐゴシック"/>
        <family val="2"/>
        <charset val="128"/>
      </rPr>
      <t xml:space="preserve">告</t>
    </r>
  </si>
  <si>
    <t xml:space="preserve">出荷管理者</t>
  </si>
  <si>
    <t xml:space="preserve">异常联络先：异常发现者      出荷管理者       班长     科长</t>
  </si>
  <si>
    <t xml:space="preserve">出现异常时作业者不能擅自主张处理，必须做到“停、叫、等”</t>
  </si>
  <si>
    <t xml:space="preserve">（此表必须跟“SHIPPING INSTRUCTION LIST”和“Truck loading check OK/NG List"、Lot批次票一起保存一年）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</si>
</sst>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_);[RED]\(0\)"/>
    <numFmt numFmtId="166" formatCode="[$-804]AAA;@"/>
    <numFmt numFmtId="167" formatCode="yyyy/m/d;@"/>
    <numFmt numFmtId="168" formatCode="yyyy\-m\-d"/>
    <numFmt numFmtId="169" formatCode="0_ "/>
    <numFmt numFmtId="170" formatCode="0.0_);[RED]\(0.0\)"/>
    <numFmt numFmtId="171" formatCode="m\月d\日"/>
  </numFmts>
  <fonts count="34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3"/>
      <charset val="134"/>
    </font>
    <font>
      <sz val="11"/>
      <name val="ＭＳ Ｐゴシック"/>
      <family val="2"/>
      <charset val="1"/>
    </font>
    <font>
      <sz val="36"/>
      <name val="黑体"/>
      <family val="3"/>
      <charset val="134"/>
    </font>
    <font>
      <sz val="36"/>
      <name val="ＭＳ Ｐゴシック"/>
      <family val="2"/>
      <charset val="128"/>
    </font>
    <font>
      <b val="true"/>
      <sz val="18"/>
      <name val="宋体"/>
      <family val="3"/>
      <charset val="134"/>
    </font>
    <font>
      <b val="true"/>
      <sz val="18"/>
      <color theme="1"/>
      <name val="等线"/>
      <family val="3"/>
      <charset val="134"/>
    </font>
    <font>
      <b val="true"/>
      <sz val="18"/>
      <name val="宋体"/>
      <family val="2"/>
      <charset val="134"/>
    </font>
    <font>
      <b val="true"/>
      <sz val="28"/>
      <name val="ＭＳ Ｐゴシック"/>
      <family val="2"/>
      <charset val="128"/>
    </font>
    <font>
      <b val="true"/>
      <sz val="20"/>
      <name val="宋体"/>
      <family val="3"/>
      <charset val="134"/>
    </font>
    <font>
      <b val="true"/>
      <sz val="18"/>
      <name val="ＭＳ Ｐゴシック"/>
      <family val="2"/>
      <charset val="128"/>
    </font>
    <font>
      <b val="true"/>
      <sz val="18"/>
      <name val="等线"/>
      <family val="3"/>
      <charset val="134"/>
    </font>
    <font>
      <b val="true"/>
      <sz val="16"/>
      <color rgb="FFFF0000"/>
      <name val="宋体"/>
      <family val="3"/>
      <charset val="134"/>
    </font>
    <font>
      <sz val="20"/>
      <name val="ＭＳ Ｐゴシック"/>
      <family val="2"/>
      <charset val="128"/>
    </font>
    <font>
      <sz val="16"/>
      <name val="ＭＳ Ｐゴシック"/>
      <family val="2"/>
      <charset val="128"/>
    </font>
    <font>
      <sz val="11"/>
      <name val="宋体"/>
      <family val="3"/>
      <charset val="134"/>
    </font>
    <font>
      <b val="true"/>
      <sz val="16"/>
      <name val="宋体"/>
      <family val="3"/>
      <charset val="134"/>
    </font>
    <font>
      <sz val="18"/>
      <name val="Arial"/>
      <family val="2"/>
      <charset val="1"/>
    </font>
    <font>
      <sz val="18"/>
      <color rgb="FFFF0000"/>
      <name val="Arial"/>
      <family val="2"/>
      <charset val="1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</font>
    <font>
      <b val="true"/>
      <sz val="18"/>
      <color rgb="FFFF0000"/>
      <name val="宋体"/>
      <family val="3"/>
      <charset val="134"/>
    </font>
    <font>
      <sz val="18"/>
      <color rgb="FFFF0000"/>
      <name val="等线"/>
      <family val="2"/>
      <charset val="1"/>
    </font>
    <font>
      <b val="true"/>
      <sz val="18"/>
      <color theme="1"/>
      <name val="宋体"/>
      <family val="3"/>
      <charset val="134"/>
    </font>
    <font>
      <sz val="18"/>
      <name val="宋体"/>
      <family val="3"/>
      <charset val="134"/>
    </font>
    <font>
      <b val="true"/>
      <sz val="18"/>
      <color rgb="FFFF0000"/>
      <name val="等线"/>
      <family val="3"/>
      <charset val="134"/>
    </font>
    <font>
      <sz val="11"/>
      <color rgb="FFFF0000"/>
      <name val="等线"/>
      <family val="2"/>
      <charset val="1"/>
    </font>
    <font>
      <sz val="18"/>
      <name val="ＭＳ Ｐゴシック"/>
      <family val="2"/>
      <charset val="128"/>
    </font>
    <font>
      <sz val="18"/>
      <color theme="1"/>
      <name val="等线"/>
      <family val="2"/>
      <charset val="1"/>
    </font>
    <font>
      <sz val="20"/>
      <color rgb="FFFF000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4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0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0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7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5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4" xfId="21"/>
    <cellStyle name="样式 1" xfId="22"/>
  </cellStyles>
  <dxfs count="5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380520</xdr:colOff>
      <xdr:row>25</xdr:row>
      <xdr:rowOff>278640</xdr:rowOff>
    </xdr:from>
    <xdr:to>
      <xdr:col>2</xdr:col>
      <xdr:colOff>380520</xdr:colOff>
      <xdr:row>28</xdr:row>
      <xdr:rowOff>231120</xdr:rowOff>
    </xdr:to>
    <xdr:sp>
      <xdr:nvSpPr>
        <xdr:cNvPr id="0" name="Line 7"/>
        <xdr:cNvSpPr/>
      </xdr:nvSpPr>
      <xdr:spPr>
        <a:xfrm>
          <a:off x="2516760" y="10293120"/>
          <a:ext cx="0" cy="232560"/>
        </a:xfrm>
        <a:prstGeom prst="line">
          <a:avLst/>
        </a:prstGeom>
        <a:ln w="2857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</xdr:col>
      <xdr:colOff>399240</xdr:colOff>
      <xdr:row>28</xdr:row>
      <xdr:rowOff>231120</xdr:rowOff>
    </xdr:from>
    <xdr:to>
      <xdr:col>3</xdr:col>
      <xdr:colOff>703440</xdr:colOff>
      <xdr:row>28</xdr:row>
      <xdr:rowOff>231120</xdr:rowOff>
    </xdr:to>
    <xdr:sp>
      <xdr:nvSpPr>
        <xdr:cNvPr id="1" name="Line 8"/>
        <xdr:cNvSpPr/>
      </xdr:nvSpPr>
      <xdr:spPr>
        <a:xfrm>
          <a:off x="2535480" y="10525680"/>
          <a:ext cx="2560320" cy="0"/>
        </a:xfrm>
        <a:prstGeom prst="line">
          <a:avLst/>
        </a:prstGeom>
        <a:ln w="2857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744840</xdr:colOff>
      <xdr:row>25</xdr:row>
      <xdr:rowOff>268560</xdr:rowOff>
    </xdr:from>
    <xdr:to>
      <xdr:col>3</xdr:col>
      <xdr:colOff>1688400</xdr:colOff>
      <xdr:row>29</xdr:row>
      <xdr:rowOff>125640</xdr:rowOff>
    </xdr:to>
    <xdr:sp>
      <xdr:nvSpPr>
        <xdr:cNvPr id="2" name="Text Box 9"/>
        <xdr:cNvSpPr/>
      </xdr:nvSpPr>
      <xdr:spPr>
        <a:xfrm>
          <a:off x="5137200" y="10283040"/>
          <a:ext cx="943560" cy="41724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54720" rIns="0" bIns="0" anchor="t" upright="1">
          <a:noAutofit/>
        </a:bodyPr>
        <a:p>
          <a:pPr>
            <a:lnSpc>
              <a:spcPct val="100000"/>
            </a:lnSpc>
          </a:pPr>
          <a:r>
            <a:rPr b="0" lang="zh-CN" sz="2000" strike="noStrike" u="none">
              <a:solidFill>
                <a:srgbClr val="ff0000"/>
              </a:solidFill>
              <a:uFillTx/>
              <a:latin typeface="宋体"/>
              <a:ea typeface="宋体"/>
            </a:rPr>
            <a:t>报告</a:t>
          </a:r>
          <a:endParaRPr b="0" lang="en-US" sz="2000" strike="noStrike" u="none"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1504800</xdr:colOff>
      <xdr:row>28</xdr:row>
      <xdr:rowOff>0</xdr:rowOff>
    </xdr:from>
    <xdr:to>
      <xdr:col>2</xdr:col>
      <xdr:colOff>1504800</xdr:colOff>
      <xdr:row>28</xdr:row>
      <xdr:rowOff>190440</xdr:rowOff>
    </xdr:to>
    <xdr:sp>
      <xdr:nvSpPr>
        <xdr:cNvPr id="3" name="Line 47"/>
        <xdr:cNvSpPr/>
      </xdr:nvSpPr>
      <xdr:spPr>
        <a:xfrm>
          <a:off x="3641040" y="10294560"/>
          <a:ext cx="0" cy="19044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</xdr:col>
      <xdr:colOff>1504800</xdr:colOff>
      <xdr:row>28</xdr:row>
      <xdr:rowOff>218880</xdr:rowOff>
    </xdr:from>
    <xdr:to>
      <xdr:col>6</xdr:col>
      <xdr:colOff>50400</xdr:colOff>
      <xdr:row>28</xdr:row>
      <xdr:rowOff>218880</xdr:rowOff>
    </xdr:to>
    <xdr:sp>
      <xdr:nvSpPr>
        <xdr:cNvPr id="4" name="Line 48"/>
        <xdr:cNvSpPr/>
      </xdr:nvSpPr>
      <xdr:spPr>
        <a:xfrm>
          <a:off x="3641040" y="10513440"/>
          <a:ext cx="4732920" cy="0"/>
        </a:xfrm>
        <a:prstGeom prst="line">
          <a:avLst/>
        </a:prstGeom>
        <a:ln w="952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1523880</xdr:colOff>
      <xdr:row>25</xdr:row>
      <xdr:rowOff>163080</xdr:rowOff>
    </xdr:from>
    <xdr:to>
      <xdr:col>3</xdr:col>
      <xdr:colOff>1904760</xdr:colOff>
      <xdr:row>25</xdr:row>
      <xdr:rowOff>163080</xdr:rowOff>
    </xdr:to>
    <xdr:sp>
      <xdr:nvSpPr>
        <xdr:cNvPr id="5" name="Line 44"/>
        <xdr:cNvSpPr/>
      </xdr:nvSpPr>
      <xdr:spPr>
        <a:xfrm>
          <a:off x="5916240" y="10177560"/>
          <a:ext cx="380880" cy="0"/>
        </a:xfrm>
        <a:prstGeom prst="line">
          <a:avLst/>
        </a:prstGeom>
        <a:ln w="2857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353520</xdr:colOff>
      <xdr:row>25</xdr:row>
      <xdr:rowOff>163080</xdr:rowOff>
    </xdr:from>
    <xdr:to>
      <xdr:col>3</xdr:col>
      <xdr:colOff>734760</xdr:colOff>
      <xdr:row>25</xdr:row>
      <xdr:rowOff>163080</xdr:rowOff>
    </xdr:to>
    <xdr:sp>
      <xdr:nvSpPr>
        <xdr:cNvPr id="6" name="Line 44"/>
        <xdr:cNvSpPr/>
      </xdr:nvSpPr>
      <xdr:spPr>
        <a:xfrm>
          <a:off x="4745880" y="10177560"/>
          <a:ext cx="381240" cy="0"/>
        </a:xfrm>
        <a:prstGeom prst="line">
          <a:avLst/>
        </a:prstGeom>
        <a:ln w="28575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35"/>
  <sheetViews>
    <sheetView showFormulas="false" showGridLines="false" showRowColHeaders="true" showZeros="true" rightToLeft="false" tabSelected="true" showOutlineSymbols="true" defaultGridColor="true" view="pageBreakPreview" topLeftCell="A1" colorId="64" zoomScale="70" zoomScaleNormal="55" zoomScalePageLayoutView="70" workbookViewId="0">
      <pane xSplit="19" ySplit="9" topLeftCell="T10" activePane="bottomRight" state="frozen"/>
      <selection pane="topLeft" activeCell="A1" activeCellId="0" sqref="A1"/>
      <selection pane="topRight" activeCell="T1" activeCellId="0" sqref="T1"/>
      <selection pane="bottomLeft" activeCell="A10" activeCellId="0" sqref="A10"/>
      <selection pane="bottomRight" activeCell="P15" activeCellId="0" sqref="P15"/>
    </sheetView>
  </sheetViews>
  <sheetFormatPr defaultColWidth="8.64843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30.63"/>
    <col collapsed="false" customWidth="true" hidden="false" outlineLevel="0" max="4" min="4" style="0" width="30.25"/>
    <col collapsed="false" customWidth="true" hidden="false" outlineLevel="0" max="5" min="5" style="0" width="10"/>
    <col collapsed="false" customWidth="true" hidden="false" outlineLevel="0" max="6" min="6" style="0" width="13.12"/>
    <col collapsed="false" customWidth="true" hidden="false" outlineLevel="0" max="7" min="7" style="0" width="10.5"/>
    <col collapsed="false" customWidth="true" hidden="false" outlineLevel="0" max="8" min="8" style="1" width="12.5"/>
    <col collapsed="false" customWidth="true" hidden="false" outlineLevel="0" max="9" min="9" style="0" width="11.75"/>
    <col collapsed="false" customWidth="true" hidden="false" outlineLevel="0" max="10" min="10" style="0" width="14.13"/>
    <col collapsed="false" customWidth="true" hidden="false" outlineLevel="0" max="11" min="11" style="2" width="13.63"/>
    <col collapsed="false" customWidth="true" hidden="false" outlineLevel="0" max="13" min="12" style="0" width="16.5"/>
    <col collapsed="false" customWidth="true" hidden="false" outlineLevel="0" max="14" min="14" style="0" width="14.13"/>
    <col collapsed="false" customWidth="true" hidden="false" outlineLevel="0" max="15" min="15" style="0" width="25.75"/>
    <col collapsed="false" customWidth="true" hidden="false" outlineLevel="0" max="18" min="16" style="0" width="9.88"/>
    <col collapsed="false" customWidth="true" hidden="false" outlineLevel="0" max="19" min="19" style="0" width="13"/>
  </cols>
  <sheetData>
    <row r="1" customFormat="false" ht="46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5"/>
    </row>
    <row r="2" customFormat="false" ht="35.25" hidden="false" customHeight="true" outlineLevel="0" collapsed="false">
      <c r="A2" s="6" t="s">
        <v>1</v>
      </c>
      <c r="B2" s="7"/>
      <c r="C2" s="8" t="s">
        <v>2</v>
      </c>
      <c r="D2" s="8"/>
      <c r="E2" s="9" t="s">
        <v>3</v>
      </c>
      <c r="F2" s="9"/>
      <c r="G2" s="10" t="s">
        <v>4</v>
      </c>
      <c r="H2" s="10"/>
      <c r="I2" s="10"/>
      <c r="J2" s="11" t="n">
        <f aca="false">G3</f>
        <v>45733.4423611111</v>
      </c>
      <c r="K2" s="4"/>
      <c r="L2" s="4"/>
      <c r="M2" s="4"/>
      <c r="N2" s="4"/>
      <c r="O2" s="4"/>
      <c r="P2" s="4"/>
      <c r="Q2" s="4"/>
      <c r="R2" s="4"/>
      <c r="S2" s="12"/>
    </row>
    <row r="3" customFormat="false" ht="35.25" hidden="false" customHeight="true" outlineLevel="0" collapsed="false">
      <c r="A3" s="6" t="s">
        <v>5</v>
      </c>
      <c r="B3" s="7"/>
      <c r="C3" s="13" t="n">
        <v>40005150</v>
      </c>
      <c r="D3" s="13"/>
      <c r="E3" s="14" t="s">
        <v>6</v>
      </c>
      <c r="F3" s="14"/>
      <c r="G3" s="15" t="n">
        <v>45733.4423611111</v>
      </c>
      <c r="H3" s="15"/>
      <c r="I3" s="15"/>
      <c r="J3" s="11"/>
      <c r="K3" s="4"/>
      <c r="L3" s="4"/>
      <c r="M3" s="4"/>
      <c r="N3" s="4"/>
      <c r="O3" s="4"/>
      <c r="P3" s="4"/>
      <c r="Q3" s="4"/>
      <c r="R3" s="4"/>
      <c r="S3" s="12"/>
    </row>
    <row r="4" customFormat="false" ht="35.25" hidden="false" customHeight="true" outlineLevel="0" collapsed="false">
      <c r="A4" s="6" t="s">
        <v>7</v>
      </c>
      <c r="B4" s="7"/>
      <c r="C4" s="16" t="s">
        <v>8</v>
      </c>
      <c r="D4" s="16"/>
      <c r="E4" s="14" t="s">
        <v>9</v>
      </c>
      <c r="F4" s="14"/>
      <c r="G4" s="17" t="n">
        <v>45726</v>
      </c>
      <c r="H4" s="17"/>
      <c r="I4" s="17"/>
      <c r="J4" s="11"/>
      <c r="K4" s="4"/>
      <c r="L4" s="4"/>
      <c r="M4" s="4"/>
      <c r="N4" s="4"/>
      <c r="O4" s="4" t="s">
        <v>10</v>
      </c>
      <c r="P4" s="4"/>
      <c r="Q4" s="4"/>
      <c r="R4" s="4"/>
      <c r="S4" s="12"/>
    </row>
    <row r="5" customFormat="false" ht="35.25" hidden="false" customHeight="true" outlineLevel="0" collapsed="false">
      <c r="A5" s="6" t="s">
        <v>11</v>
      </c>
      <c r="B5" s="7"/>
      <c r="C5" s="18"/>
      <c r="D5" s="18"/>
      <c r="E5" s="14" t="s">
        <v>12</v>
      </c>
      <c r="F5" s="14"/>
      <c r="G5" s="19"/>
      <c r="H5" s="19"/>
      <c r="I5" s="19"/>
      <c r="J5" s="11"/>
      <c r="K5" s="4"/>
      <c r="L5" s="4"/>
      <c r="M5" s="4"/>
      <c r="N5" s="4"/>
      <c r="O5" s="4"/>
      <c r="P5" s="4"/>
      <c r="Q5" s="4"/>
      <c r="R5" s="4"/>
      <c r="S5" s="12"/>
    </row>
    <row r="6" customFormat="false" ht="35.25" hidden="false" customHeight="true" outlineLevel="0" collapsed="false">
      <c r="A6" s="6" t="s">
        <v>13</v>
      </c>
      <c r="B6" s="7"/>
      <c r="C6" s="18"/>
      <c r="D6" s="18"/>
      <c r="E6" s="14" t="s">
        <v>14</v>
      </c>
      <c r="F6" s="14"/>
      <c r="G6" s="19"/>
      <c r="H6" s="19"/>
      <c r="I6" s="19"/>
      <c r="J6" s="11"/>
      <c r="K6" s="4"/>
      <c r="L6" s="4"/>
      <c r="M6" s="4"/>
      <c r="N6" s="4"/>
      <c r="O6" s="4"/>
      <c r="P6" s="4"/>
      <c r="Q6" s="4"/>
      <c r="R6" s="4"/>
      <c r="S6" s="12"/>
    </row>
    <row r="7" customFormat="false" ht="32.25" hidden="false" customHeight="true" outlineLevel="0" collapsed="false">
      <c r="B7" s="20"/>
      <c r="C7" s="20"/>
      <c r="D7" s="20"/>
      <c r="E7" s="20"/>
      <c r="F7" s="20"/>
      <c r="G7" s="20"/>
      <c r="H7" s="20"/>
      <c r="I7" s="21"/>
      <c r="J7" s="22"/>
      <c r="K7" s="4"/>
      <c r="L7" s="4"/>
      <c r="M7" s="4"/>
      <c r="N7" s="4"/>
      <c r="O7" s="4"/>
      <c r="P7" s="4"/>
      <c r="Q7" s="4"/>
      <c r="R7" s="4"/>
      <c r="S7" s="23"/>
    </row>
    <row r="8" customFormat="false" ht="24" hidden="false" customHeight="true" outlineLevel="0" collapsed="false">
      <c r="A8" s="24" t="s">
        <v>15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 t="s">
        <v>16</v>
      </c>
      <c r="Q8" s="25"/>
      <c r="R8" s="25"/>
      <c r="S8" s="25"/>
    </row>
    <row r="9" customFormat="false" ht="50.25" hidden="false" customHeight="true" outlineLevel="0" collapsed="false">
      <c r="A9" s="26" t="s">
        <v>17</v>
      </c>
      <c r="B9" s="26" t="s">
        <v>18</v>
      </c>
      <c r="C9" s="26" t="s">
        <v>19</v>
      </c>
      <c r="D9" s="26" t="s">
        <v>20</v>
      </c>
      <c r="E9" s="27" t="s">
        <v>21</v>
      </c>
      <c r="F9" s="26" t="s">
        <v>22</v>
      </c>
      <c r="G9" s="26" t="s">
        <v>23</v>
      </c>
      <c r="H9" s="28" t="s">
        <v>24</v>
      </c>
      <c r="I9" s="26" t="s">
        <v>25</v>
      </c>
      <c r="J9" s="28" t="s">
        <v>26</v>
      </c>
      <c r="K9" s="28" t="s">
        <v>27</v>
      </c>
      <c r="L9" s="26" t="s">
        <v>28</v>
      </c>
      <c r="M9" s="29" t="s">
        <v>29</v>
      </c>
      <c r="N9" s="28" t="s">
        <v>30</v>
      </c>
      <c r="O9" s="26" t="s">
        <v>31</v>
      </c>
      <c r="P9" s="30" t="s">
        <v>32</v>
      </c>
      <c r="Q9" s="28" t="s">
        <v>33</v>
      </c>
      <c r="R9" s="28" t="s">
        <v>34</v>
      </c>
      <c r="S9" s="31" t="s">
        <v>11</v>
      </c>
    </row>
    <row r="10" s="41" customFormat="true" ht="30" hidden="false" customHeight="true" outlineLevel="0" collapsed="false">
      <c r="A10" s="32" t="s">
        <v>35</v>
      </c>
      <c r="B10" s="32" t="s">
        <v>36</v>
      </c>
      <c r="C10" s="32" t="s">
        <v>37</v>
      </c>
      <c r="D10" s="33" t="s">
        <v>38</v>
      </c>
      <c r="E10" s="32" t="n">
        <v>30</v>
      </c>
      <c r="F10" s="32" t="n">
        <f aca="false">E10*G10</f>
        <v>1800</v>
      </c>
      <c r="G10" s="32" t="n">
        <v>60</v>
      </c>
      <c r="H10" s="34" t="str">
        <f aca="false">CONCATENATE(TRUNC(L10/E10),"…",ROUND(MOD(I10,E10),2))</f>
        <v>53…23</v>
      </c>
      <c r="I10" s="35" t="n">
        <f aca="false">ROUNDUP(L10/E10,0)</f>
        <v>53</v>
      </c>
      <c r="J10" s="35" t="s">
        <v>39</v>
      </c>
      <c r="K10" s="36" t="s">
        <v>40</v>
      </c>
      <c r="L10" s="37" t="n">
        <v>1590</v>
      </c>
      <c r="M10" s="33" t="n">
        <v>45733</v>
      </c>
      <c r="N10" s="32" t="s">
        <v>41</v>
      </c>
      <c r="O10" s="34" t="s">
        <v>42</v>
      </c>
      <c r="P10" s="38"/>
      <c r="Q10" s="39"/>
      <c r="R10" s="40"/>
      <c r="S10" s="40"/>
    </row>
    <row r="11" customFormat="false" ht="30" hidden="false" customHeight="true" outlineLevel="0" collapsed="false">
      <c r="A11" s="32" t="s">
        <v>43</v>
      </c>
      <c r="B11" s="32" t="s">
        <v>36</v>
      </c>
      <c r="C11" s="32" t="s">
        <v>37</v>
      </c>
      <c r="D11" s="33" t="s">
        <v>38</v>
      </c>
      <c r="E11" s="32" t="n">
        <v>30</v>
      </c>
      <c r="F11" s="32" t="n">
        <f aca="false">E11*G11</f>
        <v>1800</v>
      </c>
      <c r="G11" s="32" t="n">
        <v>60</v>
      </c>
      <c r="H11" s="34" t="str">
        <f aca="false">CONCATENATE(TRUNC(L11/E11),"…",ROUND(MOD(L11,E11),2))</f>
        <v>30…0</v>
      </c>
      <c r="I11" s="35" t="n">
        <f aca="false">ROUNDUP(L11/E11,0)</f>
        <v>30</v>
      </c>
      <c r="J11" s="35" t="s">
        <v>44</v>
      </c>
      <c r="K11" s="36" t="s">
        <v>45</v>
      </c>
      <c r="L11" s="37" t="s">
        <v>46</v>
      </c>
      <c r="M11" s="33" t="n">
        <v>45733</v>
      </c>
      <c r="N11" s="32" t="s">
        <v>41</v>
      </c>
      <c r="O11" s="34" t="s">
        <v>47</v>
      </c>
      <c r="P11" s="38"/>
      <c r="Q11" s="39"/>
      <c r="R11" s="40"/>
      <c r="S11" s="40"/>
    </row>
    <row r="12" s="41" customFormat="true" ht="30" hidden="false" customHeight="true" outlineLevel="0" collapsed="false">
      <c r="A12" s="32"/>
      <c r="B12" s="32"/>
      <c r="C12" s="32"/>
      <c r="D12" s="33"/>
      <c r="E12" s="32"/>
      <c r="F12" s="32"/>
      <c r="G12" s="32"/>
      <c r="H12" s="34"/>
      <c r="I12" s="35"/>
      <c r="J12" s="35"/>
      <c r="K12" s="36"/>
      <c r="L12" s="37"/>
      <c r="M12" s="33"/>
      <c r="N12" s="32"/>
      <c r="O12" s="33"/>
      <c r="P12" s="38"/>
      <c r="Q12" s="39"/>
      <c r="R12" s="40"/>
      <c r="S12" s="40"/>
    </row>
    <row r="13" customFormat="false" ht="30" hidden="false" customHeight="true" outlineLevel="0" collapsed="false">
      <c r="A13" s="32"/>
      <c r="B13" s="32"/>
      <c r="C13" s="32"/>
      <c r="D13" s="33"/>
      <c r="E13" s="32"/>
      <c r="F13" s="32"/>
      <c r="G13" s="32"/>
      <c r="H13" s="34"/>
      <c r="I13" s="35"/>
      <c r="J13" s="35"/>
      <c r="K13" s="36"/>
      <c r="L13" s="37"/>
      <c r="M13" s="33"/>
      <c r="N13" s="32"/>
      <c r="O13" s="34"/>
      <c r="P13" s="38"/>
      <c r="Q13" s="39"/>
      <c r="R13" s="40"/>
      <c r="S13" s="40"/>
    </row>
    <row r="14" customFormat="false" ht="30" hidden="false" customHeight="true" outlineLevel="0" collapsed="false">
      <c r="A14" s="32"/>
      <c r="B14" s="32"/>
      <c r="C14" s="32"/>
      <c r="D14" s="33"/>
      <c r="E14" s="32"/>
      <c r="F14" s="32"/>
      <c r="G14" s="32"/>
      <c r="H14" s="34"/>
      <c r="I14" s="35"/>
      <c r="J14" s="35"/>
      <c r="K14" s="36"/>
      <c r="L14" s="37"/>
      <c r="M14" s="33"/>
      <c r="N14" s="32"/>
      <c r="O14" s="34"/>
      <c r="P14" s="38"/>
      <c r="Q14" s="39"/>
      <c r="R14" s="40"/>
      <c r="S14" s="40"/>
    </row>
    <row r="15" customFormat="false" ht="30" hidden="false" customHeight="true" outlineLevel="0" collapsed="false">
      <c r="A15" s="32"/>
      <c r="B15" s="32"/>
      <c r="C15" s="32"/>
      <c r="D15" s="33"/>
      <c r="E15" s="32"/>
      <c r="F15" s="32"/>
      <c r="G15" s="32"/>
      <c r="H15" s="34"/>
      <c r="I15" s="35"/>
      <c r="J15" s="35"/>
      <c r="K15" s="36"/>
      <c r="L15" s="37"/>
      <c r="M15" s="33"/>
      <c r="N15" s="32"/>
      <c r="O15" s="34"/>
      <c r="P15" s="38"/>
      <c r="Q15" s="39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</row>
    <row r="16" customFormat="false" ht="30" hidden="false" customHeight="true" outlineLevel="0" collapsed="false">
      <c r="A16" s="32"/>
      <c r="B16" s="32"/>
      <c r="C16" s="32"/>
      <c r="D16" s="33"/>
      <c r="E16" s="32"/>
      <c r="F16" s="32"/>
      <c r="G16" s="32"/>
      <c r="H16" s="34"/>
      <c r="I16" s="35"/>
      <c r="J16" s="35"/>
      <c r="K16" s="36"/>
      <c r="L16" s="37"/>
      <c r="M16" s="33"/>
      <c r="N16" s="32"/>
      <c r="O16" s="34"/>
      <c r="P16" s="38"/>
      <c r="Q16" s="39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</row>
    <row r="17" customFormat="false" ht="30" hidden="false" customHeight="true" outlineLevel="0" collapsed="false">
      <c r="A17" s="32"/>
      <c r="B17" s="32"/>
      <c r="C17" s="32"/>
      <c r="D17" s="33"/>
      <c r="E17" s="32"/>
      <c r="F17" s="32"/>
      <c r="G17" s="32"/>
      <c r="H17" s="34"/>
      <c r="I17" s="35"/>
      <c r="J17" s="35"/>
      <c r="K17" s="36"/>
      <c r="L17" s="42"/>
      <c r="M17" s="33"/>
      <c r="N17" s="32"/>
      <c r="O17" s="34"/>
      <c r="P17" s="38"/>
      <c r="Q17" s="39"/>
      <c r="R17" s="40"/>
      <c r="S17" s="40"/>
    </row>
    <row r="18" customFormat="false" ht="30" hidden="false" customHeight="true" outlineLevel="0" collapsed="false">
      <c r="A18" s="32"/>
      <c r="B18" s="32"/>
      <c r="C18" s="32"/>
      <c r="D18" s="33"/>
      <c r="E18" s="32"/>
      <c r="F18" s="32"/>
      <c r="G18" s="32"/>
      <c r="H18" s="34"/>
      <c r="I18" s="35"/>
      <c r="J18" s="35"/>
      <c r="K18" s="36"/>
      <c r="L18" s="42"/>
      <c r="M18" s="33"/>
      <c r="N18" s="32"/>
      <c r="O18" s="34"/>
      <c r="P18" s="38"/>
      <c r="Q18" s="39"/>
      <c r="R18" s="40"/>
      <c r="S18" s="40"/>
    </row>
    <row r="19" customFormat="false" ht="30" hidden="false" customHeight="true" outlineLevel="0" collapsed="false">
      <c r="A19" s="37"/>
      <c r="B19" s="37"/>
      <c r="C19" s="37"/>
      <c r="D19" s="43"/>
      <c r="E19" s="37"/>
      <c r="F19" s="37"/>
      <c r="G19" s="37"/>
      <c r="H19" s="43"/>
      <c r="I19" s="32"/>
      <c r="J19" s="34"/>
      <c r="K19" s="44"/>
      <c r="L19" s="45"/>
      <c r="M19" s="45"/>
      <c r="N19" s="45"/>
      <c r="O19" s="46"/>
      <c r="P19" s="38"/>
      <c r="Q19" s="39"/>
      <c r="R19" s="40"/>
      <c r="S19" s="40"/>
    </row>
    <row r="20" customFormat="false" ht="30" hidden="false" customHeight="true" outlineLevel="0" collapsed="false">
      <c r="A20" s="37"/>
      <c r="B20" s="37"/>
      <c r="C20" s="37"/>
      <c r="D20" s="43"/>
      <c r="E20" s="37"/>
      <c r="F20" s="37"/>
      <c r="G20" s="37"/>
      <c r="H20" s="47"/>
      <c r="I20" s="32"/>
      <c r="J20" s="34"/>
      <c r="K20" s="44"/>
      <c r="L20" s="45"/>
      <c r="M20" s="45"/>
      <c r="N20" s="45"/>
      <c r="O20" s="46"/>
      <c r="P20" s="38"/>
      <c r="Q20" s="39"/>
      <c r="R20" s="40"/>
      <c r="S20" s="40"/>
    </row>
    <row r="21" customFormat="false" ht="30" hidden="false" customHeight="true" outlineLevel="0" collapsed="false">
      <c r="A21" s="48" t="s">
        <v>48</v>
      </c>
      <c r="B21" s="48"/>
      <c r="C21" s="48"/>
      <c r="D21" s="48"/>
      <c r="E21" s="48"/>
      <c r="F21" s="48"/>
      <c r="G21" s="48"/>
      <c r="H21" s="48"/>
      <c r="I21" s="49" t="n">
        <f aca="false">SUM(I10:I20)</f>
        <v>83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</row>
    <row r="22" customFormat="false" ht="14.25" hidden="false" customHeight="false" outlineLevel="0" collapsed="false">
      <c r="B22" s="51"/>
      <c r="C22" s="51"/>
      <c r="D22" s="51"/>
      <c r="E22" s="51"/>
      <c r="F22" s="51"/>
      <c r="G22" s="51"/>
      <c r="H22" s="52"/>
      <c r="I22" s="51"/>
      <c r="J22" s="51"/>
      <c r="K22" s="53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</row>
    <row r="23" s="56" customFormat="true" ht="48" hidden="false" customHeight="true" outlineLevel="0" collapsed="false">
      <c r="A23" s="54" t="s">
        <v>49</v>
      </c>
      <c r="B23" s="55" t="s">
        <v>50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</row>
    <row r="24" s="56" customFormat="true" ht="15" hidden="false" customHeight="true" outlineLevel="0" collapsed="false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9"/>
      <c r="Q24" s="58"/>
      <c r="R24" s="58"/>
      <c r="S24" s="58"/>
    </row>
    <row r="25" s="56" customFormat="true" ht="22.05" hidden="false" customHeight="false" outlineLevel="0" collapsed="false">
      <c r="A25" s="60" t="s">
        <v>51</v>
      </c>
      <c r="B25" s="61"/>
      <c r="C25" s="62"/>
      <c r="D25" s="62"/>
      <c r="E25" s="62"/>
      <c r="F25" s="62"/>
      <c r="L25" s="63" t="s">
        <v>52</v>
      </c>
      <c r="M25" s="63"/>
      <c r="P25" s="64"/>
    </row>
    <row r="26" s="56" customFormat="true" ht="22.05" hidden="false" customHeight="false" outlineLevel="0" collapsed="false">
      <c r="A26" s="65" t="s">
        <v>53</v>
      </c>
      <c r="B26" s="66"/>
      <c r="C26" s="67"/>
      <c r="D26" s="67"/>
      <c r="E26" s="67"/>
      <c r="F26" s="68"/>
      <c r="G26" s="68"/>
      <c r="H26" s="68"/>
      <c r="I26" s="69"/>
      <c r="L26" s="70"/>
      <c r="M26" s="70"/>
    </row>
    <row r="27" s="56" customFormat="true" ht="66" hidden="true" customHeight="true" outlineLevel="0" collapsed="false">
      <c r="A27" s="71"/>
      <c r="B27" s="72"/>
      <c r="C27" s="62"/>
      <c r="D27" s="62"/>
      <c r="E27" s="62"/>
      <c r="F27" s="62"/>
      <c r="I27" s="73"/>
      <c r="L27" s="70"/>
      <c r="M27" s="70"/>
    </row>
    <row r="28" s="56" customFormat="true" ht="22.5" hidden="true" customHeight="true" outlineLevel="0" collapsed="false">
      <c r="A28" s="74"/>
      <c r="I28" s="73"/>
      <c r="L28" s="70"/>
      <c r="M28" s="70"/>
    </row>
    <row r="29" s="56" customFormat="true" ht="22.05" hidden="false" customHeight="false" outlineLevel="0" collapsed="false">
      <c r="A29" s="74"/>
      <c r="I29" s="73"/>
      <c r="L29" s="70"/>
      <c r="M29" s="70"/>
    </row>
    <row r="30" s="56" customFormat="true" ht="15" hidden="false" customHeight="true" outlineLevel="0" collapsed="false">
      <c r="A30" s="74"/>
      <c r="I30" s="73"/>
      <c r="L30" s="70"/>
      <c r="M30" s="70"/>
    </row>
    <row r="31" s="56" customFormat="true" ht="22.05" hidden="false" customHeight="false" outlineLevel="0" collapsed="false">
      <c r="A31" s="74" t="s">
        <v>54</v>
      </c>
      <c r="I31" s="73"/>
    </row>
    <row r="32" s="56" customFormat="true" ht="12" hidden="false" customHeight="true" outlineLevel="0" collapsed="false">
      <c r="A32" s="75"/>
      <c r="B32" s="76"/>
      <c r="C32" s="76"/>
      <c r="D32" s="76"/>
      <c r="E32" s="76"/>
      <c r="F32" s="76"/>
      <c r="G32" s="76"/>
      <c r="H32" s="76"/>
      <c r="I32" s="77"/>
    </row>
    <row r="33" s="56" customFormat="true" ht="22.05" hidden="false" customHeight="false" outlineLevel="0" collapsed="false">
      <c r="A33" s="56" t="s">
        <v>55</v>
      </c>
    </row>
    <row r="34" s="78" customFormat="true" ht="22.05" hidden="false" customHeight="false" outlineLevel="0" collapsed="false">
      <c r="B34" s="79"/>
      <c r="C34" s="79"/>
      <c r="D34" s="79"/>
      <c r="E34" s="79"/>
      <c r="F34" s="79"/>
      <c r="G34" s="79"/>
      <c r="H34" s="80"/>
      <c r="I34" s="79"/>
      <c r="J34" s="79"/>
      <c r="K34" s="81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</row>
    <row r="35" s="78" customFormat="true" ht="22.05" hidden="false" customHeight="false" outlineLevel="0" collapsed="false">
      <c r="B35" s="79"/>
      <c r="C35" s="79"/>
      <c r="D35" s="79"/>
      <c r="E35" s="79"/>
      <c r="F35" s="79"/>
      <c r="G35" s="79"/>
      <c r="H35" s="80"/>
      <c r="I35" s="79"/>
      <c r="J35" s="79"/>
      <c r="K35" s="81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</row>
    <row r="36" s="78" customFormat="true" ht="22.05" hidden="false" customHeight="false" outlineLevel="0" collapsed="false">
      <c r="B36" s="79"/>
      <c r="C36" s="79"/>
      <c r="D36" s="79"/>
      <c r="E36" s="79"/>
      <c r="F36" s="79"/>
      <c r="G36" s="79"/>
      <c r="H36" s="80"/>
      <c r="I36" s="79"/>
      <c r="J36" s="79"/>
      <c r="K36" s="81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</row>
    <row r="37" s="78" customFormat="true" ht="22.05" hidden="false" customHeight="false" outlineLevel="0" collapsed="false">
      <c r="B37" s="79"/>
      <c r="C37" s="79"/>
      <c r="D37" s="79"/>
      <c r="E37" s="79"/>
      <c r="F37" s="79"/>
      <c r="G37" s="79"/>
      <c r="H37" s="80"/>
      <c r="I37" s="79"/>
      <c r="J37" s="79"/>
      <c r="K37" s="81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</row>
    <row r="38" s="78" customFormat="true" ht="22.05" hidden="false" customHeight="false" outlineLevel="0" collapsed="false">
      <c r="B38" s="79"/>
      <c r="C38" s="79"/>
      <c r="D38" s="79"/>
      <c r="E38" s="79"/>
      <c r="F38" s="79"/>
      <c r="G38" s="79"/>
      <c r="H38" s="80"/>
      <c r="I38" s="79"/>
      <c r="J38" s="79"/>
      <c r="K38" s="81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</row>
    <row r="39" s="78" customFormat="true" ht="22.05" hidden="false" customHeight="false" outlineLevel="0" collapsed="false">
      <c r="B39" s="79"/>
      <c r="C39" s="79"/>
      <c r="D39" s="79"/>
      <c r="E39" s="79"/>
      <c r="F39" s="79"/>
      <c r="G39" s="79"/>
      <c r="H39" s="80"/>
      <c r="I39" s="79"/>
      <c r="J39" s="79"/>
      <c r="K39" s="81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</row>
    <row r="40" s="78" customFormat="true" ht="22.05" hidden="false" customHeight="false" outlineLevel="0" collapsed="false">
      <c r="B40" s="79"/>
      <c r="C40" s="79"/>
      <c r="D40" s="79"/>
      <c r="E40" s="79"/>
      <c r="F40" s="79"/>
      <c r="G40" s="79"/>
      <c r="H40" s="80"/>
      <c r="I40" s="79"/>
      <c r="J40" s="79"/>
      <c r="K40" s="81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</row>
    <row r="41" s="78" customFormat="true" ht="22.05" hidden="false" customHeight="false" outlineLevel="0" collapsed="false">
      <c r="B41" s="79"/>
      <c r="C41" s="79"/>
      <c r="D41" s="79"/>
      <c r="E41" s="79"/>
      <c r="F41" s="79"/>
      <c r="G41" s="79"/>
      <c r="H41" s="80"/>
      <c r="I41" s="79"/>
      <c r="J41" s="79"/>
      <c r="K41" s="81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</row>
    <row r="42" s="78" customFormat="true" ht="22.05" hidden="false" customHeight="false" outlineLevel="0" collapsed="false">
      <c r="B42" s="79"/>
      <c r="C42" s="79"/>
      <c r="D42" s="79"/>
      <c r="E42" s="79"/>
      <c r="F42" s="79"/>
      <c r="G42" s="79"/>
      <c r="H42" s="80"/>
      <c r="I42" s="79"/>
      <c r="J42" s="79"/>
      <c r="K42" s="81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</row>
    <row r="43" s="78" customFormat="true" ht="22.05" hidden="false" customHeight="false" outlineLevel="0" collapsed="false">
      <c r="B43" s="79"/>
      <c r="C43" s="79"/>
      <c r="D43" s="79"/>
      <c r="E43" s="79"/>
      <c r="F43" s="79"/>
      <c r="G43" s="79"/>
      <c r="H43" s="80"/>
      <c r="I43" s="79"/>
      <c r="J43" s="79"/>
      <c r="K43" s="81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</row>
    <row r="44" s="78" customFormat="true" ht="22.05" hidden="false" customHeight="false" outlineLevel="0" collapsed="false">
      <c r="B44" s="79"/>
      <c r="C44" s="79"/>
      <c r="D44" s="79"/>
      <c r="E44" s="79"/>
      <c r="F44" s="79"/>
      <c r="G44" s="79"/>
      <c r="H44" s="80"/>
      <c r="I44" s="79"/>
      <c r="J44" s="79"/>
      <c r="K44" s="81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</row>
    <row r="45" s="78" customFormat="true" ht="22.05" hidden="false" customHeight="false" outlineLevel="0" collapsed="false">
      <c r="B45" s="79"/>
      <c r="C45" s="79"/>
      <c r="D45" s="79"/>
      <c r="E45" s="79"/>
      <c r="F45" s="79"/>
      <c r="G45" s="79"/>
      <c r="H45" s="80"/>
      <c r="I45" s="79"/>
      <c r="J45" s="79"/>
      <c r="K45" s="81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</row>
    <row r="46" s="78" customFormat="true" ht="22.05" hidden="false" customHeight="false" outlineLevel="0" collapsed="false">
      <c r="B46" s="79"/>
      <c r="C46" s="79"/>
      <c r="D46" s="79"/>
      <c r="E46" s="82"/>
      <c r="F46" s="82"/>
      <c r="G46" s="79"/>
      <c r="H46" s="80"/>
      <c r="I46" s="79"/>
      <c r="J46" s="79"/>
      <c r="K46" s="81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</row>
    <row r="47" s="78" customFormat="true" ht="22.05" hidden="false" customHeight="false" outlineLevel="0" collapsed="false">
      <c r="B47" s="79"/>
      <c r="C47" s="79"/>
      <c r="D47" s="79"/>
      <c r="E47" s="79"/>
      <c r="F47" s="79"/>
      <c r="G47" s="79"/>
      <c r="H47" s="80"/>
      <c r="I47" s="79"/>
      <c r="J47" s="79"/>
      <c r="K47" s="81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</row>
    <row r="48" s="78" customFormat="true" ht="22.05" hidden="false" customHeight="false" outlineLevel="0" collapsed="false">
      <c r="B48" s="79"/>
      <c r="C48" s="79"/>
      <c r="D48" s="79"/>
      <c r="E48" s="79"/>
      <c r="F48" s="79"/>
      <c r="G48" s="79"/>
      <c r="H48" s="80"/>
      <c r="I48" s="79"/>
      <c r="J48" s="79"/>
      <c r="K48" s="81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</row>
    <row r="49" s="78" customFormat="true" ht="22.05" hidden="false" customHeight="false" outlineLevel="0" collapsed="false">
      <c r="B49" s="79"/>
      <c r="C49" s="79"/>
      <c r="D49" s="79"/>
      <c r="E49" s="79"/>
      <c r="F49" s="79"/>
      <c r="G49" s="79"/>
      <c r="H49" s="80"/>
      <c r="I49" s="79"/>
      <c r="J49" s="79"/>
      <c r="K49" s="81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</row>
    <row r="50" s="78" customFormat="true" ht="22.05" hidden="false" customHeight="false" outlineLevel="0" collapsed="false">
      <c r="B50" s="79"/>
      <c r="C50" s="79"/>
      <c r="D50" s="79"/>
      <c r="E50" s="79"/>
      <c r="F50" s="79"/>
      <c r="G50" s="79"/>
      <c r="H50" s="80"/>
      <c r="I50" s="79"/>
      <c r="J50" s="79"/>
      <c r="K50" s="81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</row>
    <row r="51" s="78" customFormat="true" ht="22.05" hidden="false" customHeight="false" outlineLevel="0" collapsed="false">
      <c r="B51" s="79"/>
      <c r="C51" s="79"/>
      <c r="D51" s="79"/>
      <c r="E51" s="79"/>
      <c r="F51" s="79"/>
      <c r="G51" s="79"/>
      <c r="H51" s="80"/>
      <c r="I51" s="79"/>
      <c r="J51" s="79"/>
      <c r="K51" s="81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</row>
    <row r="52" s="78" customFormat="true" ht="22.05" hidden="false" customHeight="false" outlineLevel="0" collapsed="false">
      <c r="B52" s="79"/>
      <c r="C52" s="79"/>
      <c r="D52" s="79"/>
      <c r="E52" s="79"/>
      <c r="F52" s="79"/>
      <c r="G52" s="79"/>
      <c r="H52" s="80"/>
      <c r="I52" s="79"/>
      <c r="J52" s="79"/>
      <c r="K52" s="81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</row>
    <row r="53" s="78" customFormat="true" ht="22.05" hidden="false" customHeight="false" outlineLevel="0" collapsed="false">
      <c r="B53" s="79"/>
      <c r="C53" s="79"/>
      <c r="D53" s="79"/>
      <c r="E53" s="79"/>
      <c r="F53" s="79"/>
      <c r="G53" s="79"/>
      <c r="H53" s="80"/>
      <c r="I53" s="79"/>
      <c r="J53" s="79"/>
      <c r="K53" s="81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</row>
    <row r="54" s="78" customFormat="true" ht="22.05" hidden="false" customHeight="false" outlineLevel="0" collapsed="false">
      <c r="B54" s="79"/>
      <c r="C54" s="79"/>
      <c r="D54" s="79"/>
      <c r="E54" s="79"/>
      <c r="F54" s="79"/>
      <c r="G54" s="79"/>
      <c r="H54" s="80"/>
      <c r="I54" s="79"/>
      <c r="J54" s="79"/>
      <c r="K54" s="81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</row>
    <row r="55" s="78" customFormat="true" ht="22.05" hidden="false" customHeight="false" outlineLevel="0" collapsed="false">
      <c r="B55" s="79"/>
      <c r="C55" s="79"/>
      <c r="D55" s="79"/>
      <c r="E55" s="79"/>
      <c r="F55" s="79"/>
      <c r="G55" s="79"/>
      <c r="H55" s="80"/>
      <c r="I55" s="79"/>
      <c r="J55" s="79"/>
      <c r="K55" s="81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</row>
    <row r="56" s="78" customFormat="true" ht="22.05" hidden="false" customHeight="false" outlineLevel="0" collapsed="false">
      <c r="B56" s="79"/>
      <c r="C56" s="79"/>
      <c r="D56" s="79"/>
      <c r="E56" s="79"/>
      <c r="F56" s="79"/>
      <c r="G56" s="79"/>
      <c r="H56" s="80"/>
      <c r="I56" s="79"/>
      <c r="J56" s="79"/>
      <c r="K56" s="81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</row>
    <row r="57" s="78" customFormat="true" ht="22.05" hidden="false" customHeight="false" outlineLevel="0" collapsed="false">
      <c r="B57" s="79"/>
      <c r="C57" s="79"/>
      <c r="D57" s="79"/>
      <c r="E57" s="79"/>
      <c r="F57" s="79"/>
      <c r="G57" s="79"/>
      <c r="H57" s="80"/>
      <c r="I57" s="79"/>
      <c r="J57" s="79"/>
      <c r="K57" s="81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</row>
    <row r="58" s="78" customFormat="true" ht="22.05" hidden="false" customHeight="false" outlineLevel="0" collapsed="false">
      <c r="B58" s="79"/>
      <c r="C58" s="79"/>
      <c r="D58" s="79"/>
      <c r="E58" s="79"/>
      <c r="F58" s="79"/>
      <c r="G58" s="79"/>
      <c r="H58" s="80"/>
      <c r="I58" s="79"/>
      <c r="J58" s="79"/>
      <c r="K58" s="81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</row>
    <row r="59" s="78" customFormat="true" ht="22.05" hidden="false" customHeight="false" outlineLevel="0" collapsed="false">
      <c r="B59" s="79"/>
      <c r="C59" s="79"/>
      <c r="D59" s="79"/>
      <c r="E59" s="79"/>
      <c r="F59" s="79"/>
      <c r="G59" s="79"/>
      <c r="H59" s="80"/>
      <c r="I59" s="79"/>
      <c r="J59" s="79"/>
      <c r="K59" s="81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</row>
    <row r="60" s="78" customFormat="true" ht="22.05" hidden="false" customHeight="false" outlineLevel="0" collapsed="false">
      <c r="B60" s="79"/>
      <c r="C60" s="79"/>
      <c r="D60" s="79"/>
      <c r="E60" s="79"/>
      <c r="F60" s="79"/>
      <c r="G60" s="79"/>
      <c r="H60" s="80"/>
      <c r="I60" s="79"/>
      <c r="J60" s="79"/>
      <c r="K60" s="81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</row>
    <row r="61" s="78" customFormat="true" ht="22.05" hidden="false" customHeight="false" outlineLevel="0" collapsed="false">
      <c r="B61" s="79"/>
      <c r="C61" s="79"/>
      <c r="D61" s="79"/>
      <c r="E61" s="79"/>
      <c r="F61" s="79"/>
      <c r="G61" s="79"/>
      <c r="H61" s="80"/>
      <c r="I61" s="79"/>
      <c r="J61" s="79"/>
      <c r="K61" s="81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</row>
    <row r="62" s="78" customFormat="true" ht="22.05" hidden="false" customHeight="false" outlineLevel="0" collapsed="false">
      <c r="B62" s="79"/>
      <c r="C62" s="79"/>
      <c r="D62" s="79"/>
      <c r="E62" s="79"/>
      <c r="F62" s="79"/>
      <c r="G62" s="79"/>
      <c r="H62" s="80"/>
      <c r="I62" s="79"/>
      <c r="J62" s="79"/>
      <c r="K62" s="81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</row>
    <row r="63" s="78" customFormat="true" ht="22.05" hidden="false" customHeight="false" outlineLevel="0" collapsed="false">
      <c r="B63" s="79"/>
      <c r="C63" s="79"/>
      <c r="D63" s="79"/>
      <c r="E63" s="79"/>
      <c r="F63" s="79"/>
      <c r="G63" s="79"/>
      <c r="H63" s="80"/>
      <c r="I63" s="79"/>
      <c r="J63" s="79"/>
      <c r="K63" s="81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</row>
    <row r="64" s="78" customFormat="true" ht="22.05" hidden="false" customHeight="false" outlineLevel="0" collapsed="false">
      <c r="B64" s="79"/>
      <c r="C64" s="79"/>
      <c r="D64" s="79"/>
      <c r="E64" s="79"/>
      <c r="F64" s="79"/>
      <c r="G64" s="79"/>
      <c r="H64" s="80"/>
      <c r="I64" s="79"/>
      <c r="J64" s="79"/>
      <c r="K64" s="81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</row>
    <row r="65" s="78" customFormat="true" ht="22.05" hidden="false" customHeight="false" outlineLevel="0" collapsed="false">
      <c r="B65" s="79"/>
      <c r="C65" s="79"/>
      <c r="D65" s="79"/>
      <c r="E65" s="79"/>
      <c r="F65" s="79"/>
      <c r="G65" s="79"/>
      <c r="H65" s="80"/>
      <c r="I65" s="79"/>
      <c r="J65" s="79"/>
      <c r="K65" s="81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</row>
    <row r="66" s="78" customFormat="true" ht="22.05" hidden="false" customHeight="false" outlineLevel="0" collapsed="false">
      <c r="B66" s="79"/>
      <c r="C66" s="79"/>
      <c r="D66" s="79"/>
      <c r="E66" s="79"/>
      <c r="F66" s="79"/>
      <c r="G66" s="79"/>
      <c r="H66" s="80"/>
      <c r="I66" s="79"/>
      <c r="J66" s="79"/>
      <c r="K66" s="81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</row>
    <row r="67" s="78" customFormat="true" ht="22.05" hidden="false" customHeight="false" outlineLevel="0" collapsed="false">
      <c r="B67" s="79"/>
      <c r="C67" s="79"/>
      <c r="D67" s="79"/>
      <c r="E67" s="79"/>
      <c r="F67" s="79"/>
      <c r="G67" s="79"/>
      <c r="H67" s="80"/>
      <c r="I67" s="79"/>
      <c r="J67" s="79"/>
      <c r="K67" s="81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</row>
    <row r="68" s="78" customFormat="true" ht="22.05" hidden="false" customHeight="false" outlineLevel="0" collapsed="false">
      <c r="B68" s="79"/>
      <c r="C68" s="79"/>
      <c r="D68" s="79"/>
      <c r="E68" s="79"/>
      <c r="F68" s="79"/>
      <c r="G68" s="79"/>
      <c r="H68" s="80"/>
      <c r="I68" s="79"/>
      <c r="J68" s="79"/>
      <c r="K68" s="81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</row>
    <row r="69" s="78" customFormat="true" ht="22.05" hidden="false" customHeight="false" outlineLevel="0" collapsed="false">
      <c r="B69" s="79"/>
      <c r="C69" s="79"/>
      <c r="D69" s="79"/>
      <c r="E69" s="79"/>
      <c r="F69" s="79"/>
      <c r="G69" s="79"/>
      <c r="H69" s="80"/>
      <c r="I69" s="79"/>
      <c r="J69" s="79"/>
      <c r="K69" s="81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</row>
    <row r="70" s="78" customFormat="true" ht="22.05" hidden="false" customHeight="false" outlineLevel="0" collapsed="false">
      <c r="B70" s="79"/>
      <c r="C70" s="79"/>
      <c r="D70" s="79"/>
      <c r="E70" s="79"/>
      <c r="F70" s="79"/>
      <c r="G70" s="79"/>
      <c r="H70" s="80"/>
      <c r="I70" s="79"/>
      <c r="J70" s="79"/>
      <c r="K70" s="81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</row>
    <row r="71" s="78" customFormat="true" ht="22.05" hidden="false" customHeight="false" outlineLevel="0" collapsed="false">
      <c r="B71" s="79"/>
      <c r="C71" s="79"/>
      <c r="D71" s="79"/>
      <c r="E71" s="79"/>
      <c r="F71" s="79"/>
      <c r="G71" s="79"/>
      <c r="H71" s="80"/>
      <c r="I71" s="79"/>
      <c r="J71" s="79"/>
      <c r="K71" s="81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</row>
    <row r="72" s="78" customFormat="true" ht="22.05" hidden="false" customHeight="false" outlineLevel="0" collapsed="false">
      <c r="B72" s="79"/>
      <c r="C72" s="79"/>
      <c r="D72" s="79"/>
      <c r="E72" s="79"/>
      <c r="F72" s="79"/>
      <c r="G72" s="79"/>
      <c r="H72" s="80"/>
      <c r="I72" s="79"/>
      <c r="J72" s="79"/>
      <c r="K72" s="81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</row>
    <row r="73" customFormat="false" ht="14.25" hidden="false" customHeight="false" outlineLevel="0" collapsed="false">
      <c r="B73" s="51"/>
      <c r="C73" s="51"/>
      <c r="D73" s="51"/>
      <c r="E73" s="51"/>
      <c r="F73" s="51"/>
      <c r="G73" s="51"/>
      <c r="H73" s="52"/>
      <c r="I73" s="51"/>
      <c r="J73" s="51"/>
      <c r="K73" s="53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</row>
    <row r="74" customFormat="false" ht="14.25" hidden="false" customHeight="false" outlineLevel="0" collapsed="false">
      <c r="B74" s="51"/>
      <c r="C74" s="51"/>
      <c r="D74" s="51"/>
      <c r="E74" s="51"/>
      <c r="F74" s="51"/>
      <c r="G74" s="51"/>
      <c r="H74" s="52"/>
      <c r="I74" s="51"/>
      <c r="J74" s="51"/>
      <c r="K74" s="53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</row>
    <row r="75" customFormat="false" ht="14.25" hidden="false" customHeight="false" outlineLevel="0" collapsed="false">
      <c r="B75" s="51"/>
      <c r="C75" s="51"/>
      <c r="D75" s="51"/>
      <c r="E75" s="51"/>
      <c r="F75" s="51"/>
      <c r="G75" s="51"/>
      <c r="H75" s="52"/>
      <c r="I75" s="51"/>
      <c r="J75" s="51"/>
      <c r="K75" s="53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</row>
    <row r="76" customFormat="false" ht="14.25" hidden="false" customHeight="false" outlineLevel="0" collapsed="false">
      <c r="B76" s="51"/>
      <c r="C76" s="51"/>
      <c r="D76" s="51"/>
      <c r="E76" s="51"/>
      <c r="F76" s="51"/>
      <c r="G76" s="51"/>
      <c r="H76" s="52"/>
      <c r="I76" s="51"/>
      <c r="J76" s="51"/>
      <c r="K76" s="53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</row>
    <row r="77" customFormat="false" ht="14.25" hidden="false" customHeight="false" outlineLevel="0" collapsed="false">
      <c r="B77" s="51"/>
      <c r="C77" s="51"/>
      <c r="D77" s="51"/>
      <c r="E77" s="51"/>
      <c r="F77" s="51"/>
      <c r="G77" s="51"/>
      <c r="H77" s="52"/>
      <c r="I77" s="51"/>
      <c r="J77" s="51"/>
      <c r="K77" s="53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</row>
    <row r="78" customFormat="false" ht="14.25" hidden="false" customHeight="false" outlineLevel="0" collapsed="false">
      <c r="B78" s="51"/>
      <c r="C78" s="51"/>
      <c r="D78" s="51"/>
      <c r="E78" s="51"/>
      <c r="F78" s="51"/>
      <c r="G78" s="51"/>
      <c r="H78" s="52"/>
      <c r="I78" s="51"/>
      <c r="J78" s="51"/>
      <c r="K78" s="53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</row>
    <row r="79" customFormat="false" ht="14.25" hidden="false" customHeight="false" outlineLevel="0" collapsed="false">
      <c r="B79" s="51"/>
      <c r="C79" s="51"/>
      <c r="D79" s="51"/>
      <c r="E79" s="51"/>
      <c r="F79" s="51"/>
      <c r="G79" s="51"/>
      <c r="H79" s="52"/>
      <c r="I79" s="51"/>
      <c r="J79" s="51"/>
      <c r="K79" s="53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</row>
    <row r="80" customFormat="false" ht="14.25" hidden="false" customHeight="false" outlineLevel="0" collapsed="false">
      <c r="B80" s="51"/>
      <c r="C80" s="51"/>
      <c r="D80" s="51"/>
      <c r="E80" s="51"/>
      <c r="F80" s="51"/>
      <c r="G80" s="51"/>
      <c r="H80" s="52"/>
      <c r="I80" s="51"/>
      <c r="J80" s="51"/>
      <c r="K80" s="53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</row>
    <row r="81" customFormat="false" ht="14.25" hidden="false" customHeight="false" outlineLevel="0" collapsed="false">
      <c r="B81" s="51"/>
      <c r="C81" s="51"/>
      <c r="D81" s="51"/>
      <c r="E81" s="51"/>
      <c r="F81" s="51"/>
      <c r="G81" s="51"/>
      <c r="H81" s="52"/>
      <c r="I81" s="51"/>
      <c r="J81" s="51"/>
      <c r="K81" s="53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</row>
    <row r="82" customFormat="false" ht="14.25" hidden="false" customHeight="false" outlineLevel="0" collapsed="false">
      <c r="B82" s="51"/>
      <c r="C82" s="51"/>
      <c r="D82" s="51"/>
      <c r="E82" s="51"/>
      <c r="F82" s="51"/>
      <c r="G82" s="51"/>
      <c r="H82" s="52"/>
      <c r="I82" s="51"/>
      <c r="J82" s="51"/>
      <c r="K82" s="53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</row>
    <row r="83" customFormat="false" ht="14.25" hidden="false" customHeight="false" outlineLevel="0" collapsed="false">
      <c r="B83" s="51"/>
      <c r="C83" s="51"/>
      <c r="D83" s="51"/>
      <c r="E83" s="51"/>
      <c r="F83" s="51"/>
      <c r="G83" s="51"/>
      <c r="H83" s="52"/>
      <c r="I83" s="51"/>
      <c r="J83" s="51"/>
      <c r="K83" s="53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</row>
    <row r="84" customFormat="false" ht="14.25" hidden="false" customHeight="false" outlineLevel="0" collapsed="false">
      <c r="B84" s="51"/>
      <c r="C84" s="51"/>
      <c r="D84" s="51"/>
      <c r="E84" s="51"/>
      <c r="F84" s="51"/>
      <c r="G84" s="51"/>
      <c r="H84" s="52"/>
      <c r="I84" s="51"/>
      <c r="J84" s="51"/>
      <c r="K84" s="53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</row>
    <row r="85" customFormat="false" ht="14.25" hidden="false" customHeight="false" outlineLevel="0" collapsed="false">
      <c r="B85" s="51"/>
      <c r="C85" s="51"/>
      <c r="D85" s="51"/>
      <c r="E85" s="51"/>
      <c r="F85" s="51"/>
      <c r="G85" s="51"/>
      <c r="H85" s="52"/>
      <c r="I85" s="51"/>
      <c r="J85" s="51"/>
      <c r="K85" s="53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</row>
    <row r="86" customFormat="false" ht="14.25" hidden="false" customHeight="false" outlineLevel="0" collapsed="false">
      <c r="B86" s="51"/>
      <c r="C86" s="51"/>
      <c r="D86" s="51"/>
      <c r="E86" s="51"/>
      <c r="F86" s="51"/>
      <c r="G86" s="51"/>
      <c r="H86" s="52"/>
      <c r="I86" s="51"/>
      <c r="J86" s="51"/>
      <c r="K86" s="53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</row>
    <row r="87" customFormat="false" ht="14.25" hidden="false" customHeight="false" outlineLevel="0" collapsed="false">
      <c r="B87" s="51"/>
      <c r="C87" s="51"/>
      <c r="D87" s="51"/>
      <c r="E87" s="51"/>
      <c r="F87" s="51"/>
      <c r="G87" s="51"/>
      <c r="H87" s="52"/>
      <c r="I87" s="51"/>
      <c r="J87" s="51"/>
      <c r="K87" s="53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</row>
    <row r="88" customFormat="false" ht="14.25" hidden="false" customHeight="false" outlineLevel="0" collapsed="false">
      <c r="B88" s="51"/>
      <c r="C88" s="51"/>
      <c r="D88" s="51"/>
      <c r="E88" s="51"/>
      <c r="F88" s="51"/>
      <c r="G88" s="51"/>
      <c r="H88" s="52"/>
      <c r="I88" s="51"/>
      <c r="J88" s="51"/>
      <c r="K88" s="53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</row>
    <row r="89" customFormat="false" ht="14.25" hidden="false" customHeight="false" outlineLevel="0" collapsed="false">
      <c r="B89" s="51"/>
      <c r="C89" s="51"/>
      <c r="D89" s="51"/>
      <c r="E89" s="51"/>
      <c r="F89" s="51"/>
      <c r="G89" s="51"/>
      <c r="H89" s="52"/>
      <c r="I89" s="51"/>
      <c r="J89" s="51"/>
      <c r="K89" s="53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</row>
    <row r="90" customFormat="false" ht="14.25" hidden="false" customHeight="false" outlineLevel="0" collapsed="false">
      <c r="B90" s="51"/>
      <c r="C90" s="51"/>
      <c r="D90" s="51"/>
      <c r="E90" s="51"/>
      <c r="F90" s="51"/>
      <c r="G90" s="51"/>
      <c r="H90" s="52"/>
      <c r="I90" s="51"/>
      <c r="J90" s="51"/>
      <c r="K90" s="53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</row>
    <row r="91" customFormat="false" ht="14.25" hidden="false" customHeight="false" outlineLevel="0" collapsed="false">
      <c r="B91" s="51"/>
      <c r="C91" s="51"/>
      <c r="D91" s="51"/>
      <c r="E91" s="51"/>
      <c r="F91" s="51"/>
      <c r="G91" s="51"/>
      <c r="H91" s="52"/>
      <c r="I91" s="51"/>
      <c r="J91" s="51"/>
      <c r="K91" s="53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</row>
    <row r="92" customFormat="false" ht="14.25" hidden="false" customHeight="false" outlineLevel="0" collapsed="false">
      <c r="B92" s="51"/>
      <c r="C92" s="51"/>
      <c r="D92" s="51"/>
      <c r="E92" s="51"/>
      <c r="F92" s="51"/>
      <c r="G92" s="51"/>
      <c r="H92" s="52"/>
      <c r="I92" s="51"/>
      <c r="J92" s="51"/>
      <c r="K92" s="53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</row>
    <row r="93" customFormat="false" ht="14.25" hidden="false" customHeight="false" outlineLevel="0" collapsed="false">
      <c r="B93" s="51"/>
      <c r="C93" s="51"/>
      <c r="D93" s="51"/>
      <c r="E93" s="51"/>
      <c r="F93" s="51"/>
      <c r="G93" s="51"/>
      <c r="H93" s="52"/>
      <c r="I93" s="51"/>
      <c r="J93" s="51"/>
      <c r="K93" s="53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</row>
    <row r="94" customFormat="false" ht="14.25" hidden="false" customHeight="false" outlineLevel="0" collapsed="false">
      <c r="B94" s="51"/>
      <c r="C94" s="51"/>
      <c r="D94" s="51"/>
      <c r="E94" s="51"/>
      <c r="F94" s="51"/>
      <c r="G94" s="51"/>
      <c r="H94" s="52"/>
      <c r="I94" s="51"/>
      <c r="J94" s="51"/>
      <c r="K94" s="53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</row>
    <row r="95" customFormat="false" ht="14.25" hidden="false" customHeight="false" outlineLevel="0" collapsed="false">
      <c r="B95" s="51"/>
      <c r="C95" s="51"/>
      <c r="D95" s="51"/>
      <c r="E95" s="51"/>
      <c r="F95" s="51"/>
      <c r="G95" s="51"/>
      <c r="H95" s="52"/>
      <c r="I95" s="51"/>
      <c r="J95" s="51"/>
      <c r="K95" s="53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</row>
    <row r="96" customFormat="false" ht="14.25" hidden="false" customHeight="false" outlineLevel="0" collapsed="false">
      <c r="B96" s="51"/>
      <c r="C96" s="51"/>
      <c r="D96" s="51"/>
      <c r="E96" s="51"/>
      <c r="F96" s="51"/>
      <c r="G96" s="51"/>
      <c r="H96" s="52"/>
      <c r="I96" s="51"/>
      <c r="J96" s="51"/>
      <c r="K96" s="53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</row>
    <row r="97" customFormat="false" ht="14.25" hidden="false" customHeight="false" outlineLevel="0" collapsed="false">
      <c r="B97" s="51"/>
      <c r="C97" s="51"/>
      <c r="D97" s="51"/>
      <c r="E97" s="51"/>
      <c r="F97" s="51"/>
      <c r="G97" s="51"/>
      <c r="H97" s="52"/>
      <c r="I97" s="51"/>
      <c r="J97" s="51"/>
      <c r="K97" s="53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</row>
    <row r="98" customFormat="false" ht="14.25" hidden="false" customHeight="false" outlineLevel="0" collapsed="false">
      <c r="B98" s="51"/>
      <c r="C98" s="51"/>
      <c r="D98" s="51"/>
      <c r="E98" s="51"/>
      <c r="F98" s="51"/>
      <c r="G98" s="51"/>
      <c r="H98" s="52"/>
      <c r="I98" s="51"/>
      <c r="J98" s="51"/>
      <c r="K98" s="53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</row>
    <row r="99" customFormat="false" ht="14.25" hidden="false" customHeight="false" outlineLevel="0" collapsed="false">
      <c r="B99" s="51"/>
      <c r="C99" s="51"/>
      <c r="D99" s="51"/>
      <c r="E99" s="51"/>
      <c r="F99" s="51"/>
      <c r="G99" s="51"/>
      <c r="H99" s="52"/>
      <c r="I99" s="51"/>
      <c r="J99" s="51"/>
      <c r="K99" s="53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</row>
    <row r="100" customFormat="false" ht="14.25" hidden="false" customHeight="false" outlineLevel="0" collapsed="false">
      <c r="B100" s="51"/>
      <c r="C100" s="51"/>
      <c r="D100" s="51"/>
      <c r="E100" s="51"/>
      <c r="F100" s="51"/>
      <c r="G100" s="51"/>
      <c r="H100" s="52"/>
      <c r="I100" s="51"/>
      <c r="J100" s="51"/>
      <c r="K100" s="53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</row>
    <row r="101" customFormat="false" ht="14.25" hidden="false" customHeight="false" outlineLevel="0" collapsed="false">
      <c r="B101" s="51"/>
      <c r="C101" s="51"/>
      <c r="D101" s="51"/>
      <c r="E101" s="51"/>
      <c r="F101" s="51"/>
      <c r="G101" s="51"/>
      <c r="H101" s="52"/>
      <c r="I101" s="51"/>
      <c r="J101" s="51"/>
      <c r="K101" s="53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</row>
    <row r="102" customFormat="false" ht="14.25" hidden="false" customHeight="false" outlineLevel="0" collapsed="false">
      <c r="B102" s="51"/>
      <c r="C102" s="51"/>
      <c r="D102" s="51"/>
      <c r="E102" s="51"/>
      <c r="F102" s="51"/>
      <c r="G102" s="51"/>
      <c r="H102" s="52"/>
      <c r="I102" s="51"/>
      <c r="J102" s="51"/>
      <c r="K102" s="53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</row>
    <row r="103" customFormat="false" ht="14.25" hidden="false" customHeight="false" outlineLevel="0" collapsed="false">
      <c r="B103" s="51"/>
      <c r="C103" s="51"/>
      <c r="D103" s="51"/>
      <c r="E103" s="51"/>
      <c r="F103" s="51"/>
      <c r="G103" s="51"/>
      <c r="H103" s="52"/>
      <c r="I103" s="51"/>
      <c r="J103" s="51"/>
      <c r="K103" s="53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</row>
    <row r="104" customFormat="false" ht="14.25" hidden="false" customHeight="false" outlineLevel="0" collapsed="false">
      <c r="B104" s="51"/>
      <c r="C104" s="51"/>
      <c r="D104" s="51"/>
      <c r="E104" s="51"/>
      <c r="F104" s="51"/>
      <c r="G104" s="51"/>
      <c r="H104" s="52"/>
      <c r="I104" s="51"/>
      <c r="J104" s="51"/>
      <c r="K104" s="53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</row>
    <row r="105" customFormat="false" ht="14.25" hidden="false" customHeight="false" outlineLevel="0" collapsed="false">
      <c r="B105" s="51"/>
      <c r="C105" s="51"/>
      <c r="D105" s="51"/>
      <c r="E105" s="51"/>
      <c r="F105" s="51"/>
      <c r="G105" s="51"/>
      <c r="H105" s="52"/>
      <c r="I105" s="51"/>
      <c r="J105" s="51"/>
      <c r="K105" s="53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</row>
    <row r="106" customFormat="false" ht="14.25" hidden="false" customHeight="false" outlineLevel="0" collapsed="false">
      <c r="B106" s="51"/>
      <c r="C106" s="51"/>
      <c r="D106" s="51"/>
      <c r="E106" s="51"/>
      <c r="F106" s="51"/>
      <c r="G106" s="51"/>
      <c r="H106" s="52"/>
      <c r="I106" s="51"/>
      <c r="J106" s="51"/>
      <c r="K106" s="53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</row>
    <row r="107" customFormat="false" ht="14.25" hidden="false" customHeight="false" outlineLevel="0" collapsed="false">
      <c r="B107" s="51"/>
      <c r="C107" s="51"/>
      <c r="D107" s="51"/>
      <c r="E107" s="51"/>
      <c r="F107" s="51"/>
      <c r="G107" s="51"/>
      <c r="H107" s="52"/>
      <c r="I107" s="51"/>
      <c r="J107" s="51"/>
      <c r="K107" s="53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</row>
    <row r="108" customFormat="false" ht="14.25" hidden="false" customHeight="false" outlineLevel="0" collapsed="false">
      <c r="B108" s="51"/>
      <c r="C108" s="51"/>
      <c r="D108" s="51"/>
      <c r="E108" s="51"/>
      <c r="F108" s="51"/>
      <c r="G108" s="51"/>
      <c r="H108" s="52"/>
      <c r="I108" s="51"/>
      <c r="J108" s="51"/>
      <c r="K108" s="53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</row>
    <row r="109" customFormat="false" ht="14.25" hidden="false" customHeight="false" outlineLevel="0" collapsed="false">
      <c r="B109" s="51"/>
      <c r="C109" s="51"/>
      <c r="D109" s="51"/>
      <c r="E109" s="51"/>
      <c r="F109" s="51"/>
      <c r="G109" s="51"/>
      <c r="H109" s="52"/>
      <c r="I109" s="51"/>
      <c r="J109" s="51"/>
      <c r="K109" s="53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</row>
    <row r="110" customFormat="false" ht="14.25" hidden="false" customHeight="false" outlineLevel="0" collapsed="false">
      <c r="B110" s="51"/>
      <c r="C110" s="51"/>
      <c r="D110" s="51"/>
      <c r="E110" s="51"/>
      <c r="F110" s="51"/>
      <c r="G110" s="51"/>
      <c r="H110" s="52"/>
      <c r="I110" s="51"/>
      <c r="J110" s="51"/>
      <c r="K110" s="53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</row>
    <row r="111" customFormat="false" ht="14.25" hidden="false" customHeight="false" outlineLevel="0" collapsed="false">
      <c r="B111" s="51"/>
      <c r="C111" s="51"/>
      <c r="D111" s="51"/>
      <c r="E111" s="51"/>
      <c r="F111" s="51"/>
      <c r="G111" s="51"/>
      <c r="H111" s="52"/>
      <c r="I111" s="51"/>
      <c r="J111" s="51"/>
      <c r="K111" s="53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</row>
    <row r="112" customFormat="false" ht="14.25" hidden="false" customHeight="false" outlineLevel="0" collapsed="false">
      <c r="B112" s="51"/>
      <c r="C112" s="51"/>
      <c r="D112" s="51"/>
      <c r="E112" s="51"/>
      <c r="F112" s="51"/>
      <c r="G112" s="51"/>
      <c r="H112" s="52"/>
      <c r="I112" s="51"/>
      <c r="J112" s="51"/>
      <c r="K112" s="53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</row>
    <row r="113" customFormat="false" ht="14.25" hidden="false" customHeight="false" outlineLevel="0" collapsed="false">
      <c r="B113" s="51"/>
      <c r="C113" s="51"/>
      <c r="D113" s="51"/>
      <c r="E113" s="51"/>
      <c r="F113" s="51"/>
      <c r="G113" s="51"/>
      <c r="H113" s="52"/>
      <c r="I113" s="51"/>
      <c r="J113" s="51"/>
      <c r="K113" s="53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</row>
    <row r="114" customFormat="false" ht="14.25" hidden="false" customHeight="false" outlineLevel="0" collapsed="false">
      <c r="B114" s="51"/>
      <c r="C114" s="51"/>
      <c r="D114" s="51"/>
      <c r="E114" s="51"/>
      <c r="F114" s="51"/>
      <c r="G114" s="51"/>
      <c r="H114" s="52"/>
      <c r="I114" s="51"/>
      <c r="J114" s="51"/>
      <c r="K114" s="53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</row>
    <row r="115" customFormat="false" ht="14.25" hidden="false" customHeight="false" outlineLevel="0" collapsed="false">
      <c r="B115" s="51"/>
      <c r="C115" s="51"/>
      <c r="D115" s="51"/>
      <c r="E115" s="51"/>
      <c r="F115" s="51"/>
      <c r="G115" s="51"/>
      <c r="H115" s="52"/>
      <c r="I115" s="51"/>
      <c r="J115" s="51"/>
      <c r="K115" s="53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</row>
    <row r="116" customFormat="false" ht="14.25" hidden="false" customHeight="false" outlineLevel="0" collapsed="false">
      <c r="B116" s="51"/>
      <c r="C116" s="51"/>
      <c r="D116" s="51"/>
      <c r="E116" s="51"/>
      <c r="F116" s="51"/>
      <c r="G116" s="51"/>
      <c r="H116" s="52"/>
      <c r="I116" s="51"/>
      <c r="J116" s="51"/>
      <c r="K116" s="53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</row>
    <row r="117" customFormat="false" ht="14.25" hidden="false" customHeight="false" outlineLevel="0" collapsed="false">
      <c r="B117" s="51"/>
      <c r="C117" s="51"/>
      <c r="D117" s="51"/>
      <c r="E117" s="51"/>
      <c r="F117" s="51"/>
      <c r="G117" s="51"/>
      <c r="H117" s="52"/>
      <c r="I117" s="51"/>
      <c r="J117" s="51"/>
      <c r="K117" s="53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</row>
    <row r="118" customFormat="false" ht="14.25" hidden="false" customHeight="false" outlineLevel="0" collapsed="false">
      <c r="B118" s="51"/>
      <c r="C118" s="51"/>
      <c r="D118" s="51"/>
      <c r="E118" s="51"/>
      <c r="F118" s="51"/>
      <c r="G118" s="51"/>
      <c r="H118" s="52"/>
      <c r="I118" s="51"/>
      <c r="J118" s="51"/>
      <c r="K118" s="53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</row>
    <row r="119" customFormat="false" ht="14.25" hidden="false" customHeight="false" outlineLevel="0" collapsed="false">
      <c r="B119" s="51"/>
      <c r="C119" s="51"/>
      <c r="D119" s="51"/>
      <c r="E119" s="51"/>
      <c r="F119" s="51"/>
      <c r="G119" s="51"/>
      <c r="H119" s="52"/>
      <c r="I119" s="51"/>
      <c r="J119" s="51"/>
      <c r="K119" s="53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</row>
    <row r="120" customFormat="false" ht="14.25" hidden="false" customHeight="false" outlineLevel="0" collapsed="false">
      <c r="B120" s="51"/>
      <c r="C120" s="51"/>
      <c r="D120" s="51"/>
      <c r="E120" s="51"/>
      <c r="F120" s="51"/>
      <c r="G120" s="51"/>
      <c r="H120" s="52"/>
      <c r="I120" s="51"/>
      <c r="J120" s="51"/>
      <c r="K120" s="53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</row>
    <row r="121" customFormat="false" ht="14.25" hidden="false" customHeight="false" outlineLevel="0" collapsed="false">
      <c r="B121" s="51"/>
      <c r="C121" s="51"/>
      <c r="D121" s="51"/>
      <c r="E121" s="51"/>
      <c r="F121" s="51"/>
      <c r="G121" s="51"/>
      <c r="H121" s="52"/>
      <c r="I121" s="51"/>
      <c r="J121" s="51"/>
      <c r="K121" s="53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</row>
    <row r="122" customFormat="false" ht="14.25" hidden="false" customHeight="false" outlineLevel="0" collapsed="false">
      <c r="B122" s="51"/>
      <c r="C122" s="51"/>
      <c r="D122" s="51"/>
      <c r="E122" s="51"/>
      <c r="F122" s="51"/>
      <c r="G122" s="51"/>
      <c r="H122" s="52"/>
      <c r="I122" s="51"/>
      <c r="J122" s="51"/>
      <c r="K122" s="53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</row>
    <row r="123" customFormat="false" ht="14.25" hidden="false" customHeight="false" outlineLevel="0" collapsed="false">
      <c r="B123" s="51"/>
      <c r="C123" s="51"/>
      <c r="D123" s="51"/>
      <c r="E123" s="51"/>
      <c r="F123" s="51"/>
      <c r="G123" s="51"/>
      <c r="H123" s="52"/>
      <c r="I123" s="51"/>
      <c r="J123" s="51"/>
      <c r="K123" s="53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</row>
    <row r="124" customFormat="false" ht="14.25" hidden="false" customHeight="false" outlineLevel="0" collapsed="false">
      <c r="B124" s="51"/>
      <c r="C124" s="51"/>
      <c r="D124" s="51"/>
      <c r="E124" s="51"/>
      <c r="F124" s="51"/>
      <c r="G124" s="51"/>
      <c r="H124" s="52"/>
      <c r="I124" s="51"/>
      <c r="J124" s="51"/>
      <c r="K124" s="53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</row>
    <row r="125" customFormat="false" ht="14.25" hidden="false" customHeight="false" outlineLevel="0" collapsed="false">
      <c r="B125" s="51"/>
      <c r="C125" s="51"/>
      <c r="D125" s="51"/>
      <c r="E125" s="51"/>
      <c r="F125" s="51"/>
      <c r="G125" s="51"/>
      <c r="H125" s="52"/>
      <c r="I125" s="51"/>
      <c r="J125" s="51"/>
      <c r="K125" s="53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</row>
    <row r="126" customFormat="false" ht="14.25" hidden="false" customHeight="false" outlineLevel="0" collapsed="false">
      <c r="B126" s="51"/>
      <c r="C126" s="51"/>
      <c r="D126" s="51"/>
      <c r="E126" s="51"/>
      <c r="F126" s="51"/>
      <c r="G126" s="51"/>
      <c r="H126" s="52"/>
      <c r="I126" s="51"/>
      <c r="J126" s="51"/>
      <c r="K126" s="53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</row>
    <row r="127" customFormat="false" ht="14.25" hidden="false" customHeight="false" outlineLevel="0" collapsed="false">
      <c r="B127" s="51"/>
      <c r="C127" s="51"/>
      <c r="D127" s="51"/>
      <c r="E127" s="51"/>
      <c r="F127" s="51"/>
      <c r="G127" s="51"/>
      <c r="H127" s="52"/>
      <c r="I127" s="51"/>
      <c r="J127" s="51"/>
      <c r="K127" s="53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</row>
    <row r="128" customFormat="false" ht="14.25" hidden="false" customHeight="false" outlineLevel="0" collapsed="false">
      <c r="B128" s="51"/>
      <c r="C128" s="51"/>
      <c r="D128" s="51"/>
      <c r="E128" s="51"/>
      <c r="F128" s="51"/>
      <c r="G128" s="51"/>
      <c r="H128" s="52"/>
      <c r="I128" s="51"/>
      <c r="J128" s="51"/>
      <c r="K128" s="53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</row>
    <row r="129" customFormat="false" ht="14.25" hidden="false" customHeight="false" outlineLevel="0" collapsed="false">
      <c r="B129" s="51"/>
      <c r="C129" s="51"/>
      <c r="D129" s="51"/>
      <c r="E129" s="51"/>
      <c r="F129" s="51"/>
      <c r="G129" s="51"/>
      <c r="H129" s="52"/>
      <c r="I129" s="51"/>
      <c r="J129" s="51"/>
      <c r="K129" s="53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</row>
    <row r="130" customFormat="false" ht="14.25" hidden="false" customHeight="false" outlineLevel="0" collapsed="false">
      <c r="B130" s="51"/>
      <c r="C130" s="51"/>
      <c r="D130" s="51"/>
      <c r="E130" s="51"/>
      <c r="F130" s="51"/>
      <c r="G130" s="51"/>
      <c r="H130" s="52"/>
      <c r="I130" s="51"/>
      <c r="J130" s="51"/>
      <c r="K130" s="53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</row>
    <row r="131" customFormat="false" ht="14.25" hidden="false" customHeight="false" outlineLevel="0" collapsed="false">
      <c r="B131" s="51"/>
      <c r="C131" s="51"/>
      <c r="D131" s="51"/>
      <c r="E131" s="51"/>
      <c r="F131" s="51"/>
      <c r="G131" s="51"/>
      <c r="H131" s="52"/>
      <c r="I131" s="51"/>
      <c r="J131" s="51"/>
      <c r="K131" s="53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</row>
    <row r="132" customFormat="false" ht="14.25" hidden="false" customHeight="false" outlineLevel="0" collapsed="false">
      <c r="B132" s="51"/>
      <c r="C132" s="51"/>
      <c r="D132" s="51"/>
      <c r="E132" s="51"/>
      <c r="F132" s="51"/>
      <c r="G132" s="51"/>
      <c r="H132" s="52"/>
      <c r="I132" s="51"/>
      <c r="J132" s="51"/>
      <c r="K132" s="53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</row>
    <row r="133" customFormat="false" ht="14.25" hidden="false" customHeight="false" outlineLevel="0" collapsed="false">
      <c r="B133" s="51"/>
      <c r="C133" s="51"/>
      <c r="D133" s="51"/>
      <c r="E133" s="51"/>
      <c r="F133" s="51"/>
      <c r="G133" s="51"/>
      <c r="H133" s="52"/>
      <c r="I133" s="51"/>
      <c r="J133" s="51"/>
      <c r="K133" s="53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</row>
    <row r="134" customFormat="false" ht="14.25" hidden="false" customHeight="false" outlineLevel="0" collapsed="false">
      <c r="B134" s="51"/>
      <c r="C134" s="51"/>
      <c r="D134" s="51"/>
      <c r="E134" s="51"/>
      <c r="F134" s="51"/>
      <c r="G134" s="51"/>
      <c r="H134" s="52"/>
      <c r="I134" s="51"/>
      <c r="J134" s="51"/>
      <c r="K134" s="53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</row>
    <row r="135" customFormat="false" ht="14.25" hidden="false" customHeight="false" outlineLevel="0" collapsed="false">
      <c r="B135" s="51"/>
      <c r="C135" s="51"/>
      <c r="D135" s="51"/>
      <c r="E135" s="51"/>
      <c r="F135" s="51"/>
      <c r="G135" s="51"/>
      <c r="H135" s="52"/>
      <c r="I135" s="51"/>
      <c r="J135" s="51"/>
      <c r="K135" s="53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</row>
    <row r="136" customFormat="false" ht="14.25" hidden="false" customHeight="false" outlineLevel="0" collapsed="false">
      <c r="B136" s="51"/>
      <c r="C136" s="51"/>
      <c r="D136" s="51"/>
      <c r="E136" s="51"/>
      <c r="F136" s="51"/>
      <c r="G136" s="51"/>
      <c r="H136" s="52"/>
      <c r="I136" s="51"/>
      <c r="J136" s="51"/>
      <c r="K136" s="53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</row>
    <row r="137" customFormat="false" ht="14.25" hidden="false" customHeight="false" outlineLevel="0" collapsed="false">
      <c r="B137" s="51"/>
      <c r="C137" s="51"/>
      <c r="D137" s="51"/>
      <c r="E137" s="51"/>
      <c r="F137" s="51"/>
      <c r="G137" s="51"/>
      <c r="H137" s="52"/>
      <c r="I137" s="51"/>
      <c r="J137" s="51"/>
      <c r="K137" s="53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</row>
    <row r="138" customFormat="false" ht="14.25" hidden="false" customHeight="false" outlineLevel="0" collapsed="false">
      <c r="B138" s="51"/>
      <c r="C138" s="51"/>
      <c r="D138" s="51"/>
      <c r="E138" s="51"/>
      <c r="F138" s="51"/>
      <c r="G138" s="51"/>
      <c r="H138" s="52"/>
      <c r="I138" s="51"/>
      <c r="J138" s="51"/>
      <c r="K138" s="53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</row>
    <row r="139" customFormat="false" ht="14.25" hidden="false" customHeight="false" outlineLevel="0" collapsed="false">
      <c r="B139" s="51"/>
      <c r="C139" s="51"/>
      <c r="D139" s="51"/>
      <c r="E139" s="51"/>
      <c r="F139" s="51"/>
      <c r="G139" s="51"/>
      <c r="H139" s="52"/>
      <c r="I139" s="51"/>
      <c r="J139" s="51"/>
      <c r="K139" s="53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</row>
    <row r="140" customFormat="false" ht="14.25" hidden="false" customHeight="false" outlineLevel="0" collapsed="false">
      <c r="B140" s="51"/>
      <c r="C140" s="51"/>
      <c r="D140" s="51"/>
      <c r="E140" s="51"/>
      <c r="F140" s="51"/>
      <c r="G140" s="51"/>
      <c r="H140" s="52"/>
      <c r="I140" s="51"/>
      <c r="J140" s="51"/>
      <c r="K140" s="53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</row>
    <row r="141" customFormat="false" ht="14.25" hidden="false" customHeight="false" outlineLevel="0" collapsed="false">
      <c r="B141" s="51"/>
      <c r="C141" s="51"/>
      <c r="D141" s="51"/>
      <c r="E141" s="51"/>
      <c r="F141" s="51"/>
      <c r="G141" s="51"/>
      <c r="H141" s="52"/>
      <c r="I141" s="51"/>
      <c r="J141" s="51"/>
      <c r="K141" s="53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</row>
    <row r="142" customFormat="false" ht="14.25" hidden="false" customHeight="false" outlineLevel="0" collapsed="false">
      <c r="B142" s="51"/>
      <c r="C142" s="51"/>
      <c r="D142" s="51"/>
      <c r="E142" s="51"/>
      <c r="F142" s="51"/>
      <c r="G142" s="51"/>
      <c r="H142" s="52"/>
      <c r="I142" s="51"/>
      <c r="J142" s="51"/>
      <c r="K142" s="53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</row>
    <row r="143" customFormat="false" ht="14.25" hidden="false" customHeight="false" outlineLevel="0" collapsed="false">
      <c r="B143" s="51"/>
      <c r="C143" s="51"/>
      <c r="D143" s="51"/>
      <c r="E143" s="51"/>
      <c r="F143" s="51"/>
      <c r="G143" s="51"/>
      <c r="H143" s="52"/>
      <c r="I143" s="51"/>
      <c r="J143" s="51"/>
      <c r="K143" s="53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</row>
    <row r="144" customFormat="false" ht="14.25" hidden="false" customHeight="false" outlineLevel="0" collapsed="false">
      <c r="B144" s="51"/>
      <c r="C144" s="51"/>
      <c r="D144" s="51"/>
      <c r="E144" s="51"/>
      <c r="F144" s="51"/>
      <c r="G144" s="51"/>
      <c r="H144" s="52"/>
      <c r="I144" s="51"/>
      <c r="J144" s="51"/>
      <c r="K144" s="53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</row>
    <row r="145" customFormat="false" ht="14.25" hidden="false" customHeight="false" outlineLevel="0" collapsed="false">
      <c r="B145" s="51"/>
      <c r="C145" s="51"/>
      <c r="D145" s="51"/>
      <c r="E145" s="51"/>
      <c r="F145" s="51"/>
      <c r="G145" s="51"/>
      <c r="H145" s="52"/>
      <c r="I145" s="51"/>
      <c r="J145" s="51"/>
      <c r="K145" s="53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</row>
    <row r="146" customFormat="false" ht="14.25" hidden="false" customHeight="false" outlineLevel="0" collapsed="false">
      <c r="B146" s="51"/>
      <c r="C146" s="51"/>
      <c r="D146" s="51"/>
      <c r="E146" s="51"/>
      <c r="F146" s="51"/>
      <c r="G146" s="51"/>
      <c r="H146" s="52"/>
      <c r="I146" s="51"/>
      <c r="J146" s="51"/>
      <c r="K146" s="53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</row>
    <row r="147" customFormat="false" ht="14.25" hidden="false" customHeight="false" outlineLevel="0" collapsed="false">
      <c r="B147" s="51"/>
      <c r="C147" s="51"/>
      <c r="D147" s="51"/>
      <c r="E147" s="51"/>
      <c r="F147" s="51"/>
      <c r="G147" s="51"/>
      <c r="H147" s="52"/>
      <c r="I147" s="51"/>
      <c r="J147" s="51"/>
      <c r="K147" s="53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</row>
    <row r="148" customFormat="false" ht="14.25" hidden="false" customHeight="false" outlineLevel="0" collapsed="false">
      <c r="B148" s="51"/>
      <c r="C148" s="51"/>
      <c r="D148" s="51"/>
      <c r="E148" s="51"/>
      <c r="F148" s="51"/>
      <c r="G148" s="51"/>
      <c r="H148" s="52"/>
      <c r="I148" s="51"/>
      <c r="J148" s="51"/>
      <c r="K148" s="53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</row>
    <row r="149" customFormat="false" ht="14.25" hidden="false" customHeight="false" outlineLevel="0" collapsed="false">
      <c r="B149" s="51"/>
      <c r="C149" s="51"/>
      <c r="D149" s="51"/>
      <c r="E149" s="51"/>
      <c r="F149" s="51"/>
      <c r="G149" s="51"/>
      <c r="H149" s="52"/>
      <c r="I149" s="51"/>
      <c r="J149" s="51"/>
      <c r="K149" s="53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</row>
    <row r="150" customFormat="false" ht="14.25" hidden="false" customHeight="false" outlineLevel="0" collapsed="false">
      <c r="B150" s="51"/>
      <c r="C150" s="51"/>
      <c r="D150" s="51"/>
      <c r="E150" s="51"/>
      <c r="F150" s="51"/>
      <c r="G150" s="51"/>
      <c r="H150" s="52"/>
      <c r="I150" s="51"/>
      <c r="J150" s="51"/>
      <c r="K150" s="53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</row>
    <row r="151" customFormat="false" ht="14.25" hidden="false" customHeight="false" outlineLevel="0" collapsed="false">
      <c r="B151" s="51"/>
      <c r="C151" s="51"/>
      <c r="D151" s="51"/>
      <c r="E151" s="51"/>
      <c r="F151" s="51"/>
      <c r="G151" s="51"/>
      <c r="H151" s="52"/>
      <c r="I151" s="51"/>
      <c r="J151" s="51"/>
      <c r="K151" s="53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</row>
    <row r="152" customFormat="false" ht="14.25" hidden="false" customHeight="false" outlineLevel="0" collapsed="false">
      <c r="B152" s="51"/>
      <c r="C152" s="51"/>
      <c r="D152" s="51"/>
      <c r="E152" s="51"/>
      <c r="F152" s="51"/>
      <c r="G152" s="51"/>
      <c r="H152" s="52"/>
      <c r="I152" s="51"/>
      <c r="J152" s="51"/>
      <c r="K152" s="53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</row>
    <row r="153" customFormat="false" ht="14.25" hidden="false" customHeight="false" outlineLevel="0" collapsed="false">
      <c r="B153" s="51"/>
      <c r="C153" s="51"/>
      <c r="D153" s="51"/>
      <c r="E153" s="51"/>
      <c r="F153" s="51"/>
      <c r="G153" s="51"/>
      <c r="H153" s="52"/>
      <c r="I153" s="51"/>
      <c r="J153" s="51"/>
      <c r="K153" s="53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</row>
    <row r="154" customFormat="false" ht="14.25" hidden="false" customHeight="false" outlineLevel="0" collapsed="false">
      <c r="B154" s="51"/>
      <c r="C154" s="51"/>
      <c r="D154" s="51"/>
      <c r="E154" s="51"/>
      <c r="F154" s="51"/>
      <c r="G154" s="51"/>
      <c r="H154" s="52"/>
      <c r="I154" s="51"/>
      <c r="J154" s="51"/>
      <c r="K154" s="53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</row>
    <row r="155" customFormat="false" ht="14.25" hidden="false" customHeight="false" outlineLevel="0" collapsed="false">
      <c r="B155" s="51"/>
      <c r="C155" s="51"/>
      <c r="D155" s="51"/>
      <c r="E155" s="51"/>
      <c r="F155" s="51"/>
      <c r="G155" s="51"/>
      <c r="H155" s="52"/>
      <c r="I155" s="51"/>
      <c r="J155" s="51"/>
      <c r="K155" s="53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</row>
    <row r="156" customFormat="false" ht="14.25" hidden="false" customHeight="false" outlineLevel="0" collapsed="false">
      <c r="B156" s="51"/>
      <c r="C156" s="51"/>
      <c r="D156" s="51"/>
      <c r="E156" s="51"/>
      <c r="F156" s="51"/>
      <c r="G156" s="51"/>
      <c r="H156" s="52"/>
      <c r="I156" s="51"/>
      <c r="J156" s="51"/>
      <c r="K156" s="53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</row>
    <row r="157" customFormat="false" ht="14.25" hidden="false" customHeight="false" outlineLevel="0" collapsed="false">
      <c r="B157" s="51"/>
      <c r="C157" s="51"/>
      <c r="D157" s="51"/>
      <c r="E157" s="51"/>
      <c r="F157" s="51"/>
      <c r="G157" s="51"/>
      <c r="H157" s="52"/>
      <c r="I157" s="51"/>
      <c r="J157" s="51"/>
      <c r="K157" s="53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</row>
    <row r="158" customFormat="false" ht="14.25" hidden="false" customHeight="false" outlineLevel="0" collapsed="false">
      <c r="B158" s="51"/>
      <c r="C158" s="51"/>
      <c r="D158" s="51"/>
      <c r="E158" s="51"/>
      <c r="F158" s="51"/>
      <c r="G158" s="51"/>
      <c r="H158" s="52"/>
      <c r="I158" s="51"/>
      <c r="J158" s="51"/>
      <c r="K158" s="53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</row>
    <row r="159" customFormat="false" ht="14.25" hidden="false" customHeight="false" outlineLevel="0" collapsed="false">
      <c r="B159" s="51"/>
      <c r="C159" s="51"/>
      <c r="D159" s="51"/>
      <c r="E159" s="51"/>
      <c r="F159" s="51"/>
      <c r="G159" s="51"/>
      <c r="H159" s="52"/>
      <c r="I159" s="51"/>
      <c r="J159" s="51"/>
      <c r="K159" s="53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</row>
    <row r="160" customFormat="false" ht="14.25" hidden="false" customHeight="false" outlineLevel="0" collapsed="false">
      <c r="B160" s="51"/>
      <c r="C160" s="51"/>
      <c r="D160" s="51"/>
      <c r="E160" s="51"/>
      <c r="F160" s="51"/>
      <c r="G160" s="51"/>
      <c r="H160" s="52"/>
      <c r="I160" s="51"/>
      <c r="J160" s="51"/>
      <c r="K160" s="53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</row>
    <row r="161" customFormat="false" ht="14.25" hidden="false" customHeight="false" outlineLevel="0" collapsed="false">
      <c r="B161" s="51"/>
      <c r="C161" s="51"/>
      <c r="D161" s="51"/>
      <c r="E161" s="51"/>
      <c r="F161" s="51"/>
      <c r="G161" s="51"/>
      <c r="H161" s="52"/>
      <c r="I161" s="51"/>
      <c r="J161" s="51"/>
      <c r="K161" s="53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</row>
    <row r="162" customFormat="false" ht="14.25" hidden="false" customHeight="false" outlineLevel="0" collapsed="false">
      <c r="B162" s="51"/>
      <c r="C162" s="51"/>
      <c r="D162" s="51"/>
      <c r="E162" s="51"/>
      <c r="F162" s="51"/>
      <c r="G162" s="51"/>
      <c r="H162" s="52"/>
      <c r="I162" s="51"/>
      <c r="J162" s="51"/>
      <c r="K162" s="53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</row>
    <row r="163" customFormat="false" ht="14.25" hidden="false" customHeight="false" outlineLevel="0" collapsed="false">
      <c r="B163" s="51"/>
      <c r="C163" s="51"/>
      <c r="D163" s="51"/>
      <c r="E163" s="51"/>
      <c r="F163" s="51"/>
      <c r="G163" s="51"/>
      <c r="H163" s="52"/>
      <c r="I163" s="51"/>
      <c r="J163" s="51"/>
      <c r="K163" s="53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</row>
    <row r="164" customFormat="false" ht="14.25" hidden="false" customHeight="false" outlineLevel="0" collapsed="false">
      <c r="B164" s="51"/>
      <c r="C164" s="51"/>
      <c r="D164" s="51"/>
      <c r="E164" s="51"/>
      <c r="F164" s="51"/>
      <c r="G164" s="51"/>
      <c r="H164" s="52"/>
      <c r="I164" s="51"/>
      <c r="J164" s="51"/>
      <c r="K164" s="53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</row>
    <row r="165" customFormat="false" ht="14.25" hidden="false" customHeight="false" outlineLevel="0" collapsed="false">
      <c r="B165" s="51"/>
      <c r="C165" s="51"/>
      <c r="D165" s="51"/>
      <c r="E165" s="51"/>
      <c r="F165" s="51"/>
      <c r="G165" s="51"/>
      <c r="H165" s="52"/>
      <c r="I165" s="51"/>
      <c r="J165" s="51"/>
      <c r="K165" s="53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</row>
    <row r="166" customFormat="false" ht="14.25" hidden="false" customHeight="false" outlineLevel="0" collapsed="false">
      <c r="B166" s="51"/>
      <c r="C166" s="51"/>
      <c r="D166" s="51"/>
      <c r="E166" s="51"/>
      <c r="F166" s="51"/>
      <c r="G166" s="51"/>
      <c r="H166" s="52"/>
      <c r="I166" s="51"/>
      <c r="J166" s="51"/>
      <c r="K166" s="53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</row>
    <row r="167" customFormat="false" ht="14.25" hidden="false" customHeight="false" outlineLevel="0" collapsed="false">
      <c r="B167" s="51"/>
      <c r="C167" s="51"/>
      <c r="D167" s="51"/>
      <c r="E167" s="51"/>
      <c r="F167" s="51"/>
      <c r="G167" s="51"/>
      <c r="H167" s="52"/>
      <c r="I167" s="51"/>
      <c r="J167" s="51"/>
      <c r="K167" s="53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</row>
    <row r="168" customFormat="false" ht="14.25" hidden="false" customHeight="false" outlineLevel="0" collapsed="false">
      <c r="B168" s="51"/>
      <c r="C168" s="51"/>
      <c r="D168" s="51"/>
      <c r="E168" s="51"/>
      <c r="F168" s="51"/>
      <c r="G168" s="51"/>
      <c r="H168" s="52"/>
      <c r="I168" s="51"/>
      <c r="J168" s="51"/>
      <c r="K168" s="53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</row>
    <row r="169" customFormat="false" ht="14.25" hidden="false" customHeight="false" outlineLevel="0" collapsed="false">
      <c r="B169" s="51"/>
      <c r="C169" s="51"/>
      <c r="D169" s="51"/>
      <c r="E169" s="51"/>
      <c r="F169" s="51"/>
      <c r="G169" s="51"/>
      <c r="H169" s="52"/>
      <c r="I169" s="51"/>
      <c r="J169" s="51"/>
      <c r="K169" s="53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</row>
    <row r="170" customFormat="false" ht="14.25" hidden="false" customHeight="false" outlineLevel="0" collapsed="false">
      <c r="B170" s="51"/>
      <c r="C170" s="51"/>
      <c r="D170" s="51"/>
      <c r="E170" s="51"/>
      <c r="F170" s="51"/>
      <c r="G170" s="51"/>
      <c r="H170" s="52"/>
      <c r="I170" s="51"/>
      <c r="J170" s="51"/>
      <c r="K170" s="53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</row>
    <row r="171" customFormat="false" ht="14.25" hidden="false" customHeight="false" outlineLevel="0" collapsed="false">
      <c r="B171" s="51"/>
      <c r="C171" s="51"/>
      <c r="D171" s="51"/>
      <c r="E171" s="51"/>
      <c r="F171" s="51"/>
      <c r="G171" s="51"/>
      <c r="H171" s="52"/>
      <c r="I171" s="51"/>
      <c r="J171" s="51"/>
      <c r="K171" s="53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</row>
    <row r="172" customFormat="false" ht="14.25" hidden="false" customHeight="false" outlineLevel="0" collapsed="false">
      <c r="B172" s="51"/>
      <c r="C172" s="51"/>
      <c r="D172" s="51"/>
      <c r="E172" s="51"/>
      <c r="F172" s="51"/>
      <c r="G172" s="51"/>
      <c r="H172" s="52"/>
      <c r="I172" s="51"/>
      <c r="J172" s="51"/>
      <c r="K172" s="53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</row>
    <row r="173" customFormat="false" ht="14.25" hidden="false" customHeight="false" outlineLevel="0" collapsed="false">
      <c r="B173" s="51"/>
      <c r="C173" s="51"/>
      <c r="D173" s="51"/>
      <c r="E173" s="51"/>
      <c r="F173" s="51"/>
      <c r="G173" s="51"/>
      <c r="H173" s="52"/>
      <c r="I173" s="51"/>
      <c r="J173" s="51"/>
      <c r="K173" s="53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</row>
    <row r="174" customFormat="false" ht="14.25" hidden="false" customHeight="false" outlineLevel="0" collapsed="false">
      <c r="B174" s="51"/>
      <c r="C174" s="51"/>
      <c r="D174" s="51"/>
      <c r="E174" s="51"/>
      <c r="F174" s="51"/>
      <c r="G174" s="51"/>
      <c r="H174" s="52"/>
      <c r="I174" s="51"/>
      <c r="J174" s="51"/>
      <c r="K174" s="53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</row>
    <row r="175" customFormat="false" ht="14.25" hidden="false" customHeight="false" outlineLevel="0" collapsed="false">
      <c r="B175" s="51"/>
      <c r="C175" s="51"/>
      <c r="D175" s="51"/>
      <c r="E175" s="51"/>
      <c r="F175" s="51"/>
      <c r="G175" s="51"/>
      <c r="H175" s="52"/>
      <c r="I175" s="51"/>
      <c r="J175" s="51"/>
      <c r="K175" s="53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customFormat="false" ht="14.25" hidden="false" customHeight="false" outlineLevel="0" collapsed="false">
      <c r="B176" s="51"/>
      <c r="C176" s="51"/>
      <c r="D176" s="51"/>
      <c r="E176" s="51"/>
      <c r="F176" s="51"/>
      <c r="G176" s="51"/>
      <c r="H176" s="52"/>
      <c r="I176" s="51"/>
      <c r="J176" s="51"/>
      <c r="K176" s="53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</row>
    <row r="177" customFormat="false" ht="14.25" hidden="false" customHeight="false" outlineLevel="0" collapsed="false">
      <c r="B177" s="51"/>
      <c r="C177" s="51"/>
      <c r="D177" s="51"/>
      <c r="E177" s="51"/>
      <c r="F177" s="51"/>
      <c r="G177" s="51"/>
      <c r="H177" s="52"/>
      <c r="I177" s="51"/>
      <c r="J177" s="51"/>
      <c r="K177" s="53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</row>
    <row r="178" customFormat="false" ht="14.25" hidden="false" customHeight="false" outlineLevel="0" collapsed="false">
      <c r="B178" s="51"/>
      <c r="C178" s="51"/>
      <c r="D178" s="51"/>
      <c r="E178" s="51"/>
      <c r="F178" s="51"/>
      <c r="G178" s="51"/>
      <c r="H178" s="52"/>
      <c r="I178" s="51"/>
      <c r="J178" s="51"/>
      <c r="K178" s="53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</row>
    <row r="179" customFormat="false" ht="14.25" hidden="false" customHeight="false" outlineLevel="0" collapsed="false">
      <c r="B179" s="51"/>
      <c r="C179" s="51"/>
      <c r="D179" s="51"/>
      <c r="E179" s="51"/>
      <c r="F179" s="51"/>
      <c r="G179" s="51"/>
      <c r="H179" s="52"/>
      <c r="I179" s="51"/>
      <c r="J179" s="51"/>
      <c r="K179" s="53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</row>
    <row r="180" customFormat="false" ht="14.25" hidden="false" customHeight="false" outlineLevel="0" collapsed="false">
      <c r="B180" s="51"/>
      <c r="C180" s="51"/>
      <c r="D180" s="51"/>
      <c r="E180" s="51"/>
      <c r="F180" s="51"/>
      <c r="G180" s="51"/>
      <c r="H180" s="52"/>
      <c r="I180" s="51"/>
      <c r="J180" s="51"/>
      <c r="K180" s="53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</row>
    <row r="181" customFormat="false" ht="14.25" hidden="false" customHeight="false" outlineLevel="0" collapsed="false">
      <c r="B181" s="51"/>
      <c r="C181" s="51"/>
      <c r="D181" s="51"/>
      <c r="E181" s="51"/>
      <c r="F181" s="51"/>
      <c r="G181" s="51"/>
      <c r="H181" s="52"/>
      <c r="I181" s="51"/>
      <c r="J181" s="51"/>
      <c r="K181" s="53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</row>
    <row r="182" customFormat="false" ht="14.25" hidden="false" customHeight="false" outlineLevel="0" collapsed="false">
      <c r="B182" s="51"/>
      <c r="C182" s="51"/>
      <c r="D182" s="51"/>
      <c r="E182" s="51"/>
      <c r="F182" s="51"/>
      <c r="G182" s="51"/>
      <c r="H182" s="52"/>
      <c r="I182" s="51"/>
      <c r="J182" s="51"/>
      <c r="K182" s="53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</row>
    <row r="183" customFormat="false" ht="14.25" hidden="false" customHeight="false" outlineLevel="0" collapsed="false">
      <c r="B183" s="51"/>
      <c r="C183" s="51"/>
      <c r="D183" s="51"/>
      <c r="E183" s="51"/>
      <c r="F183" s="51"/>
      <c r="G183" s="51"/>
      <c r="H183" s="52"/>
      <c r="I183" s="51"/>
      <c r="J183" s="51"/>
      <c r="K183" s="53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</row>
    <row r="184" customFormat="false" ht="14.25" hidden="false" customHeight="false" outlineLevel="0" collapsed="false">
      <c r="B184" s="51"/>
      <c r="C184" s="51"/>
      <c r="D184" s="51"/>
      <c r="E184" s="51"/>
      <c r="F184" s="51"/>
      <c r="G184" s="51"/>
      <c r="H184" s="52"/>
      <c r="I184" s="51"/>
      <c r="J184" s="51"/>
      <c r="K184" s="53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</row>
    <row r="185" customFormat="false" ht="14.25" hidden="false" customHeight="false" outlineLevel="0" collapsed="false">
      <c r="B185" s="51"/>
      <c r="C185" s="51"/>
      <c r="D185" s="51"/>
      <c r="E185" s="51"/>
      <c r="F185" s="51"/>
      <c r="G185" s="51"/>
      <c r="H185" s="52"/>
      <c r="I185" s="51"/>
      <c r="J185" s="51"/>
      <c r="K185" s="53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</row>
    <row r="186" customFormat="false" ht="14.25" hidden="false" customHeight="false" outlineLevel="0" collapsed="false">
      <c r="B186" s="51"/>
      <c r="C186" s="51"/>
      <c r="D186" s="51"/>
      <c r="E186" s="51"/>
      <c r="F186" s="51"/>
      <c r="G186" s="51"/>
      <c r="H186" s="52"/>
      <c r="I186" s="51"/>
      <c r="J186" s="51"/>
      <c r="K186" s="53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</row>
    <row r="187" customFormat="false" ht="14.25" hidden="false" customHeight="false" outlineLevel="0" collapsed="false">
      <c r="B187" s="51"/>
      <c r="C187" s="51"/>
      <c r="D187" s="51"/>
      <c r="E187" s="51"/>
      <c r="F187" s="51"/>
      <c r="G187" s="51"/>
      <c r="H187" s="52"/>
      <c r="I187" s="51"/>
      <c r="J187" s="51"/>
      <c r="K187" s="53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</row>
    <row r="188" customFormat="false" ht="14.25" hidden="false" customHeight="false" outlineLevel="0" collapsed="false">
      <c r="B188" s="51"/>
      <c r="C188" s="51"/>
      <c r="D188" s="51"/>
      <c r="E188" s="51"/>
      <c r="F188" s="51"/>
      <c r="G188" s="51"/>
      <c r="H188" s="52"/>
      <c r="I188" s="51"/>
      <c r="J188" s="51"/>
      <c r="K188" s="53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</row>
    <row r="189" customFormat="false" ht="14.25" hidden="false" customHeight="false" outlineLevel="0" collapsed="false">
      <c r="B189" s="51"/>
      <c r="C189" s="51"/>
      <c r="D189" s="51"/>
      <c r="E189" s="51"/>
      <c r="F189" s="51"/>
      <c r="G189" s="51"/>
      <c r="H189" s="52"/>
      <c r="I189" s="51"/>
      <c r="J189" s="51"/>
      <c r="K189" s="53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</row>
    <row r="190" customFormat="false" ht="14.25" hidden="false" customHeight="false" outlineLevel="0" collapsed="false">
      <c r="B190" s="51"/>
      <c r="C190" s="51"/>
      <c r="D190" s="51"/>
      <c r="E190" s="51"/>
      <c r="F190" s="51"/>
      <c r="G190" s="51"/>
      <c r="H190" s="52"/>
      <c r="I190" s="51"/>
      <c r="J190" s="51"/>
      <c r="K190" s="53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</row>
    <row r="191" customFormat="false" ht="14.25" hidden="false" customHeight="false" outlineLevel="0" collapsed="false">
      <c r="B191" s="51"/>
      <c r="C191" s="51"/>
      <c r="D191" s="51"/>
      <c r="E191" s="51"/>
      <c r="F191" s="51"/>
      <c r="G191" s="51"/>
      <c r="H191" s="52"/>
      <c r="I191" s="51"/>
      <c r="J191" s="51"/>
      <c r="K191" s="53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</row>
    <row r="192" customFormat="false" ht="14.25" hidden="false" customHeight="false" outlineLevel="0" collapsed="false">
      <c r="B192" s="51"/>
      <c r="C192" s="51"/>
      <c r="D192" s="51"/>
      <c r="E192" s="51"/>
      <c r="F192" s="51"/>
      <c r="G192" s="51"/>
      <c r="H192" s="52"/>
      <c r="I192" s="51"/>
      <c r="J192" s="51"/>
      <c r="K192" s="53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</row>
    <row r="193" customFormat="false" ht="14.25" hidden="false" customHeight="false" outlineLevel="0" collapsed="false">
      <c r="B193" s="51"/>
      <c r="C193" s="51"/>
      <c r="D193" s="51"/>
      <c r="E193" s="51"/>
      <c r="F193" s="51"/>
      <c r="G193" s="51"/>
      <c r="H193" s="52"/>
      <c r="I193" s="51"/>
      <c r="J193" s="51"/>
      <c r="K193" s="53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</row>
    <row r="194" customFormat="false" ht="14.25" hidden="false" customHeight="false" outlineLevel="0" collapsed="false">
      <c r="B194" s="51"/>
      <c r="C194" s="51"/>
      <c r="D194" s="51"/>
      <c r="E194" s="51"/>
      <c r="F194" s="51"/>
      <c r="G194" s="51"/>
      <c r="H194" s="52"/>
      <c r="I194" s="51"/>
      <c r="J194" s="51"/>
      <c r="K194" s="53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</row>
    <row r="195" customFormat="false" ht="14.25" hidden="false" customHeight="false" outlineLevel="0" collapsed="false">
      <c r="B195" s="51"/>
      <c r="C195" s="51"/>
      <c r="D195" s="51"/>
      <c r="E195" s="51"/>
      <c r="F195" s="51"/>
      <c r="G195" s="51"/>
      <c r="H195" s="52"/>
      <c r="I195" s="51"/>
      <c r="J195" s="51"/>
      <c r="K195" s="53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</row>
    <row r="196" customFormat="false" ht="14.25" hidden="false" customHeight="false" outlineLevel="0" collapsed="false">
      <c r="B196" s="51"/>
      <c r="C196" s="51"/>
      <c r="D196" s="51"/>
      <c r="E196" s="51"/>
      <c r="F196" s="51"/>
      <c r="G196" s="51"/>
      <c r="H196" s="52"/>
      <c r="I196" s="51"/>
      <c r="J196" s="51"/>
      <c r="K196" s="53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</row>
    <row r="1048535" customFormat="false" ht="14.25" hidden="false" customHeight="false" outlineLevel="0" collapsed="false">
      <c r="G1048535" s="0" t="n">
        <f aca="false">SUM(G1:G1048534)</f>
        <v>91579.4423611111</v>
      </c>
    </row>
  </sheetData>
  <autoFilter ref="A9:AN21"/>
  <mergeCells count="25">
    <mergeCell ref="A1:J1"/>
    <mergeCell ref="C2:D2"/>
    <mergeCell ref="E2:F2"/>
    <mergeCell ref="G2:I2"/>
    <mergeCell ref="J2:J6"/>
    <mergeCell ref="C3:D3"/>
    <mergeCell ref="E3:F3"/>
    <mergeCell ref="G3:I3"/>
    <mergeCell ref="C4:D4"/>
    <mergeCell ref="E4:F4"/>
    <mergeCell ref="G4:I4"/>
    <mergeCell ref="C5:D5"/>
    <mergeCell ref="E5:F5"/>
    <mergeCell ref="G5:I5"/>
    <mergeCell ref="C6:D6"/>
    <mergeCell ref="E6:F6"/>
    <mergeCell ref="G6:I6"/>
    <mergeCell ref="B7:H7"/>
    <mergeCell ref="A8:O8"/>
    <mergeCell ref="P8:S8"/>
    <mergeCell ref="A21:H21"/>
    <mergeCell ref="J21:S21"/>
    <mergeCell ref="B23:S23"/>
    <mergeCell ref="L25:M25"/>
    <mergeCell ref="L26:M30"/>
  </mergeCells>
  <dataValidations count="2">
    <dataValidation allowBlank="true" errorStyle="stop" operator="between" promptTitle="韦小梅,龙荧秋," showDropDown="false" showErrorMessage="true" showInputMessage="true" sqref="G4:I4" type="none">
      <formula1>0</formula1>
      <formula2>0</formula2>
    </dataValidation>
    <dataValidation allowBlank="true" errorStyle="stop" operator="between" promptTitle="韦小梅,龙荧秋," showDropDown="false" showErrorMessage="true" showInputMessage="true" sqref="F4" type="list">
      <formula1>"丁小惠,王若云,张婷,李婷,李土秀,谢洋,夏怀,韦彩亦,郑莉,欧子露,梁紫楣"</formula1>
      <formula2>0</formula2>
    </dataValidation>
  </dataValidations>
  <printOptions headings="false" gridLines="false" gridLinesSet="true" horizontalCentered="false" verticalCentered="false"/>
  <pageMargins left="0.236111111111111" right="0.196527777777778" top="0.747916666666667" bottom="0.748611111111111" header="0.511811023622047" footer="0.315277777777778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2025-05-19T01:22:29Z</dcterms:created>
  <dc:creator>兆轩 毕</dc:creator>
  <dc:description/>
  <dc:language>zh-CN</dc:language>
  <cp:lastModifiedBy/>
  <dcterms:modified xsi:type="dcterms:W3CDTF">2025-05-19T13:49:57Z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